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ttle Geniuses (Males)" sheetId="1" r:id="rId5"/>
    <sheet state="visible" name="AI &amp; Game Creators (Males)" sheetId="2" r:id="rId6"/>
    <sheet state="visible" name="All Registerations" sheetId="3" r:id="rId7"/>
    <sheet state="visible" name="SMIT Registrations" sheetId="4" r:id="rId8"/>
  </sheets>
  <definedNames/>
  <calcPr/>
</workbook>
</file>

<file path=xl/sharedStrings.xml><?xml version="1.0" encoding="utf-8"?>
<sst xmlns="http://schemas.openxmlformats.org/spreadsheetml/2006/main" count="3175" uniqueCount="846">
  <si>
    <t>Bahria College EAB 2 Students Attendance Sheet For SMIT Summercamp 2026 (Males) , Course: Little Geniuses (Monday, Wednesday 09AM to 11AM Class 3 to 6)</t>
  </si>
  <si>
    <t>Bahria College EAB 2 Students Attendance Sheet For SMIT Summercamp 2026, Course: AI &amp; Game Creators (Tuesday, Thursday 09AM to 11AM Class 7 to 10)</t>
  </si>
  <si>
    <t>Bahria College EAB 2 Majeed SRE Summercamp 2026 Students Enrollments</t>
  </si>
  <si>
    <t>name</t>
  </si>
  <si>
    <t>Serial No</t>
  </si>
  <si>
    <t>Name</t>
  </si>
  <si>
    <t>Father Name</t>
  </si>
  <si>
    <t>Gender</t>
  </si>
  <si>
    <t>Phone Number</t>
  </si>
  <si>
    <t>father</t>
  </si>
  <si>
    <t>Class / Category</t>
  </si>
  <si>
    <t>email</t>
  </si>
  <si>
    <t>Willingness / Course</t>
  </si>
  <si>
    <t>nic</t>
  </si>
  <si>
    <t>address</t>
  </si>
  <si>
    <t>DOB</t>
  </si>
  <si>
    <t>father phone</t>
  </si>
  <si>
    <t>Abdul Ahad</t>
  </si>
  <si>
    <t>father nic</t>
  </si>
  <si>
    <t>class</t>
  </si>
  <si>
    <t>Usman Ameen</t>
  </si>
  <si>
    <t>course</t>
  </si>
  <si>
    <t>Male</t>
  </si>
  <si>
    <t>IV-F</t>
  </si>
  <si>
    <t>Muhammad Ahmed</t>
  </si>
  <si>
    <t>Computer</t>
  </si>
  <si>
    <t>S No</t>
  </si>
  <si>
    <t>Abdul Hadee</t>
  </si>
  <si>
    <t>Mujahid Manzoor</t>
  </si>
  <si>
    <t>Humair</t>
  </si>
  <si>
    <t>mujahidmanzoor148@gmail.com</t>
  </si>
  <si>
    <t>VIII</t>
  </si>
  <si>
    <t>Father</t>
  </si>
  <si>
    <t>Comp + Writing</t>
  </si>
  <si>
    <t>Bahria College EAB 2</t>
  </si>
  <si>
    <t>Class</t>
  </si>
  <si>
    <t>Abdul Hadi</t>
  </si>
  <si>
    <t>Abdul Rashid</t>
  </si>
  <si>
    <t>little geniuses</t>
  </si>
  <si>
    <t>0312-9200137</t>
  </si>
  <si>
    <t>VI-H</t>
  </si>
  <si>
    <t>Moaz Bin Mujahid</t>
  </si>
  <si>
    <t>Sports</t>
  </si>
  <si>
    <t>Abdul Haseeb</t>
  </si>
  <si>
    <t>Nazim Ali</t>
  </si>
  <si>
    <t>II-B</t>
  </si>
  <si>
    <t>Muhammad Arsheq</t>
  </si>
  <si>
    <t>Art</t>
  </si>
  <si>
    <t>Muhammad Banaras</t>
  </si>
  <si>
    <t>Abdul Rafay</t>
  </si>
  <si>
    <t>Shujaat Hussain</t>
  </si>
  <si>
    <t>X</t>
  </si>
  <si>
    <t>Comp / Graphic</t>
  </si>
  <si>
    <t>Project</t>
  </si>
  <si>
    <t>Usman Hameed</t>
  </si>
  <si>
    <t>usmansatti992@gmail.com</t>
  </si>
  <si>
    <t>Attendance</t>
  </si>
  <si>
    <t>M. Amjad</t>
  </si>
  <si>
    <t>Status</t>
  </si>
  <si>
    <t>V-E</t>
  </si>
  <si>
    <t>Present</t>
  </si>
  <si>
    <t>Abdulah</t>
  </si>
  <si>
    <t>Comp / Sports</t>
  </si>
  <si>
    <t>Shakeel Ahmed</t>
  </si>
  <si>
    <t>maryamshakeelpc@gmail.com</t>
  </si>
  <si>
    <t>Abdul Razzaq</t>
  </si>
  <si>
    <t>M. Amin</t>
  </si>
  <si>
    <t>V</t>
  </si>
  <si>
    <t>Comp / IT</t>
  </si>
  <si>
    <t>Abdur Rehman</t>
  </si>
  <si>
    <t>Abdul Rehman</t>
  </si>
  <si>
    <t>Waqas Ali</t>
  </si>
  <si>
    <t>VI</t>
  </si>
  <si>
    <t>ai game creators</t>
  </si>
  <si>
    <t>Abdul Samad</t>
  </si>
  <si>
    <t>Rafeqat Ali</t>
  </si>
  <si>
    <t>5-th</t>
  </si>
  <si>
    <t>Comp</t>
  </si>
  <si>
    <t>I-B</t>
  </si>
  <si>
    <t>Writing</t>
  </si>
  <si>
    <t>Abdul Wasey</t>
  </si>
  <si>
    <t>II-C</t>
  </si>
  <si>
    <t>Art / Writing</t>
  </si>
  <si>
    <t>Abdullah</t>
  </si>
  <si>
    <t>-</t>
  </si>
  <si>
    <t>Absent</t>
  </si>
  <si>
    <t>Abdullah Anwar</t>
  </si>
  <si>
    <t>Anwar Hussain</t>
  </si>
  <si>
    <t>IX</t>
  </si>
  <si>
    <t>Comp + Sports</t>
  </si>
  <si>
    <t>VII-H</t>
  </si>
  <si>
    <t>Comp + games</t>
  </si>
  <si>
    <t>rayyan</t>
  </si>
  <si>
    <t>akram</t>
  </si>
  <si>
    <t>Comp Art</t>
  </si>
  <si>
    <t>P</t>
  </si>
  <si>
    <t>Absar</t>
  </si>
  <si>
    <t>No Electricity, No Class</t>
  </si>
  <si>
    <t>M. Imran</t>
  </si>
  <si>
    <t>9 Muharram, No Class</t>
  </si>
  <si>
    <t>A</t>
  </si>
  <si>
    <t>Arts / Calligraphy / Comp</t>
  </si>
  <si>
    <t>Abu Bakar</t>
  </si>
  <si>
    <t>No Class</t>
  </si>
  <si>
    <t>I</t>
  </si>
  <si>
    <t>abdullah</t>
  </si>
  <si>
    <t>0313-1046508</t>
  </si>
  <si>
    <t>Trainer Late entry due to permission issues</t>
  </si>
  <si>
    <t>Comp + game</t>
  </si>
  <si>
    <t>Ahmed Abdullah</t>
  </si>
  <si>
    <t>Ali Ahmed</t>
  </si>
  <si>
    <t>shakeel_ahmed</t>
  </si>
  <si>
    <t>Ahmed Ali</t>
  </si>
  <si>
    <t>Aktar Ali</t>
  </si>
  <si>
    <t>Not Submitted</t>
  </si>
  <si>
    <t>Ali</t>
  </si>
  <si>
    <t>IV</t>
  </si>
  <si>
    <t>Not Certified</t>
  </si>
  <si>
    <t>Ali Hamza</t>
  </si>
  <si>
    <t>No Class (No Entry)</t>
  </si>
  <si>
    <t>M. Ashraf</t>
  </si>
  <si>
    <t>rao_ahmed</t>
  </si>
  <si>
    <t>zaheer_hussain</t>
  </si>
  <si>
    <t>Essay / Comp</t>
  </si>
  <si>
    <t>Ali Hussain</t>
  </si>
  <si>
    <t>Shahbaz Hussain</t>
  </si>
  <si>
    <t>Ali Zamin Jaffri</t>
  </si>
  <si>
    <t>Mehboob Ali</t>
  </si>
  <si>
    <t>Camp and Sports</t>
  </si>
  <si>
    <t>Alisbtain Jaffri</t>
  </si>
  <si>
    <t>arsheq</t>
  </si>
  <si>
    <t>banaras</t>
  </si>
  <si>
    <t>Arham</t>
  </si>
  <si>
    <t>naeem_ahmed</t>
  </si>
  <si>
    <t>Imran</t>
  </si>
  <si>
    <t>m_abdal</t>
  </si>
  <si>
    <t>VII-G</t>
  </si>
  <si>
    <t>Arselan Ali</t>
  </si>
  <si>
    <t>Mukhtiar Ali</t>
  </si>
  <si>
    <t>VIII-H</t>
  </si>
  <si>
    <t>Ashir Umair</t>
  </si>
  <si>
    <t>Umair Ahmed</t>
  </si>
  <si>
    <t>IV-G</t>
  </si>
  <si>
    <t>abdul_ahad</t>
  </si>
  <si>
    <t>Comp + Art</t>
  </si>
  <si>
    <t>usman_hameed</t>
  </si>
  <si>
    <t>Axham</t>
  </si>
  <si>
    <t>subhan</t>
  </si>
  <si>
    <t>waqar</t>
  </si>
  <si>
    <t>Ayan Aftab</t>
  </si>
  <si>
    <t>Aftab Ahmad</t>
  </si>
  <si>
    <t>II-D</t>
  </si>
  <si>
    <t>Arts</t>
  </si>
  <si>
    <t>Ayan Faisal</t>
  </si>
  <si>
    <t>M. Faisal</t>
  </si>
  <si>
    <t>0312-8469858</t>
  </si>
  <si>
    <t>IV-E</t>
  </si>
  <si>
    <t>umair</t>
  </si>
  <si>
    <t>abid_ali</t>
  </si>
  <si>
    <t>Bilal Hassan</t>
  </si>
  <si>
    <t>Faisal</t>
  </si>
  <si>
    <t>rana_saifullah</t>
  </si>
  <si>
    <t>03343535051 / 034363483</t>
  </si>
  <si>
    <t>rana_umer_hayat</t>
  </si>
  <si>
    <t>IX-I</t>
  </si>
  <si>
    <t>Volleyball / Comp</t>
  </si>
  <si>
    <t>Elahi Bux</t>
  </si>
  <si>
    <t>Asif Hussain</t>
  </si>
  <si>
    <t>Fahad</t>
  </si>
  <si>
    <t>Manzoor Ahmed</t>
  </si>
  <si>
    <t>faisal</t>
  </si>
  <si>
    <t>mumtaz_husain</t>
  </si>
  <si>
    <t>Comp / IT / Game</t>
  </si>
  <si>
    <t>Fahad Zia</t>
  </si>
  <si>
    <t>hasnain</t>
  </si>
  <si>
    <t>altaf_hussain</t>
  </si>
  <si>
    <t>Comp + IT</t>
  </si>
  <si>
    <t>Faham</t>
  </si>
  <si>
    <t>M. Iftikhar</t>
  </si>
  <si>
    <t>VII</t>
  </si>
  <si>
    <t>Sports + Comp / Art</t>
  </si>
  <si>
    <t>Faizan</t>
  </si>
  <si>
    <t>Shehzad</t>
  </si>
  <si>
    <t>yahya</t>
  </si>
  <si>
    <t>VI-F</t>
  </si>
  <si>
    <t>ziaullah</t>
  </si>
  <si>
    <t>Shahzad</t>
  </si>
  <si>
    <t>noor_muhammad</t>
  </si>
  <si>
    <t>nasim_noor</t>
  </si>
  <si>
    <t>Faran</t>
  </si>
  <si>
    <t>Sohail Ahmed</t>
  </si>
  <si>
    <t>Hadi Bin Javed</t>
  </si>
  <si>
    <t>M. Javed</t>
  </si>
  <si>
    <t>III</t>
  </si>
  <si>
    <t>Sports + Comp / IT</t>
  </si>
  <si>
    <t>Hamid</t>
  </si>
  <si>
    <t>Zain-ul-Abidin</t>
  </si>
  <si>
    <t>m_bilal_raza</t>
  </si>
  <si>
    <t>nasir_mahmood</t>
  </si>
  <si>
    <t>Eng essay / Art</t>
  </si>
  <si>
    <t>Hamid Zain</t>
  </si>
  <si>
    <t>Zainul Abideen</t>
  </si>
  <si>
    <t>Eng writing</t>
  </si>
  <si>
    <t>Hamza</t>
  </si>
  <si>
    <t>IV-H</t>
  </si>
  <si>
    <t>syed_zohair</t>
  </si>
  <si>
    <t>tahir</t>
  </si>
  <si>
    <t>0321-2213260</t>
  </si>
  <si>
    <t>Hamza Sajid</t>
  </si>
  <si>
    <t>ali_hamza</t>
  </si>
  <si>
    <t>Sajid Hussain</t>
  </si>
  <si>
    <t>m_ashraf</t>
  </si>
  <si>
    <t>com</t>
  </si>
  <si>
    <t>Hannan Shah</t>
  </si>
  <si>
    <t>S. Shakeel</t>
  </si>
  <si>
    <t>Haseeb</t>
  </si>
  <si>
    <t>zayyam</t>
  </si>
  <si>
    <t>sakilr_ali</t>
  </si>
  <si>
    <t>Hasnain</t>
  </si>
  <si>
    <t>I-D</t>
  </si>
  <si>
    <t>aftab</t>
  </si>
  <si>
    <t>0301-7407743</t>
  </si>
  <si>
    <t>Hassaan Shakir</t>
  </si>
  <si>
    <t>Shakir Ali</t>
  </si>
  <si>
    <t>Hassan</t>
  </si>
  <si>
    <t>7-G</t>
  </si>
  <si>
    <t>abu_bakar</t>
  </si>
  <si>
    <t>abdul_rehman</t>
  </si>
  <si>
    <t>0301-17407743</t>
  </si>
  <si>
    <t>Hassan Bin Asad</t>
  </si>
  <si>
    <t>hassan_rashid</t>
  </si>
  <si>
    <t>Asad Hussain</t>
  </si>
  <si>
    <t>rashid_mahmood</t>
  </si>
  <si>
    <t>Husnain</t>
  </si>
  <si>
    <t>Aftab</t>
  </si>
  <si>
    <t>Comp / Sport</t>
  </si>
  <si>
    <t>Husnain Hussain</t>
  </si>
  <si>
    <t>Altaf Hussain</t>
  </si>
  <si>
    <t>rafiq_ul_islam</t>
  </si>
  <si>
    <t>Sports + Comp</t>
  </si>
  <si>
    <t>huzaifa_khan</t>
  </si>
  <si>
    <t>naeem_khan</t>
  </si>
  <si>
    <t>Hussain Raza</t>
  </si>
  <si>
    <t>Comp / Art / Last</t>
  </si>
  <si>
    <t>Huzaifa Abid</t>
  </si>
  <si>
    <t>Akhtar Abbas</t>
  </si>
  <si>
    <t>Sports activity</t>
  </si>
  <si>
    <t>Huzaifa Amir</t>
  </si>
  <si>
    <t>m_usman</t>
  </si>
  <si>
    <t>Amir Rafiq</t>
  </si>
  <si>
    <t>iftikhar</t>
  </si>
  <si>
    <t>abdur_rehman</t>
  </si>
  <si>
    <t>M. Absar</t>
  </si>
  <si>
    <t>M. Sarwar</t>
  </si>
  <si>
    <t>6-H</t>
  </si>
  <si>
    <t>M. Abubakas</t>
  </si>
  <si>
    <t>m_sarim_umar</t>
  </si>
  <si>
    <t>zahid</t>
  </si>
  <si>
    <t>m_ayan</t>
  </si>
  <si>
    <t>M. Affan</t>
  </si>
  <si>
    <t>Fida</t>
  </si>
  <si>
    <t>M. Ahmad Raza</t>
  </si>
  <si>
    <t>Assalan</t>
  </si>
  <si>
    <t>m_aliyan_umar</t>
  </si>
  <si>
    <t>m_basir</t>
  </si>
  <si>
    <t>safeer_ahmed</t>
  </si>
  <si>
    <t>M. Ali Sarim Umer</t>
  </si>
  <si>
    <t>VI-I</t>
  </si>
  <si>
    <t>M. Aliyan</t>
  </si>
  <si>
    <t>Israr Hussain</t>
  </si>
  <si>
    <t>M. Aliyan umer</t>
  </si>
  <si>
    <t>M. Zahid</t>
  </si>
  <si>
    <t>m_uzair</t>
  </si>
  <si>
    <t>irfanullah</t>
  </si>
  <si>
    <t>M. Anas Awan</t>
  </si>
  <si>
    <t>Sanaullah</t>
  </si>
  <si>
    <t>M. Arham</t>
  </si>
  <si>
    <t>M. Arqam</t>
  </si>
  <si>
    <t>m_umair_saleem</t>
  </si>
  <si>
    <t>II</t>
  </si>
  <si>
    <t>m_saleem</t>
  </si>
  <si>
    <t>m_umar</t>
  </si>
  <si>
    <t>amir_imran</t>
  </si>
  <si>
    <t>M. Arselan</t>
  </si>
  <si>
    <t>M. Arshak</t>
  </si>
  <si>
    <t>M. Banaras</t>
  </si>
  <si>
    <t>Comp + Writing / Sports</t>
  </si>
  <si>
    <t>M. Awais</t>
  </si>
  <si>
    <t>Allahbakhsh</t>
  </si>
  <si>
    <t>abdul_hadi</t>
  </si>
  <si>
    <t>shaheer_abbas</t>
  </si>
  <si>
    <t>humair_javed</t>
  </si>
  <si>
    <t>tahir_abbas</t>
  </si>
  <si>
    <t>M. Ayan</t>
  </si>
  <si>
    <t>Akram uallah</t>
  </si>
  <si>
    <t>M. Ayyan</t>
  </si>
  <si>
    <t>m_faizan</t>
  </si>
  <si>
    <t>M. Raheel</t>
  </si>
  <si>
    <t>muhammad</t>
  </si>
  <si>
    <t>m_abdullah</t>
  </si>
  <si>
    <t>m_asif_tanveer</t>
  </si>
  <si>
    <t>M. Baseer</t>
  </si>
  <si>
    <t>Safeer Ahmad</t>
  </si>
  <si>
    <t>Comp AI</t>
  </si>
  <si>
    <t>M. Bilal</t>
  </si>
  <si>
    <t>VIII-B</t>
  </si>
  <si>
    <t>M. Bin Asif</t>
  </si>
  <si>
    <t>hassan_shakir</t>
  </si>
  <si>
    <t>M. Asif Tanveer</t>
  </si>
  <si>
    <t>shakir_ali</t>
  </si>
  <si>
    <t>m_azan</t>
  </si>
  <si>
    <t>0307-2673131</t>
  </si>
  <si>
    <t>tariq_javed</t>
  </si>
  <si>
    <t>M. Bin Javad</t>
  </si>
  <si>
    <t>M. Bin Naeem</t>
  </si>
  <si>
    <t>Naeem Ahmed</t>
  </si>
  <si>
    <t>jawad_mohsin</t>
  </si>
  <si>
    <t>faraan_sohail</t>
  </si>
  <si>
    <t>malik_mohsin_sarwar</t>
  </si>
  <si>
    <t>sohail_ahmed</t>
  </si>
  <si>
    <t>M. Danish</t>
  </si>
  <si>
    <t>M. Amir Imran</t>
  </si>
  <si>
    <t>M. Daraiz</t>
  </si>
  <si>
    <t>Naeem</t>
  </si>
  <si>
    <t>Arts + Computer</t>
  </si>
  <si>
    <t>sajid_imran</t>
  </si>
  <si>
    <t>VI-E</t>
  </si>
  <si>
    <t>m_ameen</t>
  </si>
  <si>
    <t>M. Faizan</t>
  </si>
  <si>
    <t>M. Abdullah</t>
  </si>
  <si>
    <t>M. Farhan</t>
  </si>
  <si>
    <t>m_fahad_zia</t>
  </si>
  <si>
    <t>V-H</t>
  </si>
  <si>
    <t>m_zia_ul_hassan</t>
  </si>
  <si>
    <t>ali_zamin</t>
  </si>
  <si>
    <t>mehboob_ali</t>
  </si>
  <si>
    <t>M. Fawad Khan</t>
  </si>
  <si>
    <t>Saleem Mukhtar</t>
  </si>
  <si>
    <t>M. Furqan</t>
  </si>
  <si>
    <t>Parvaiz Asghar</t>
  </si>
  <si>
    <t>rao_abdul_samad</t>
  </si>
  <si>
    <t>M. Naveed</t>
  </si>
  <si>
    <t>rafaqat_ali</t>
  </si>
  <si>
    <t>ali_hussain</t>
  </si>
  <si>
    <t>shehbaz_hussain</t>
  </si>
  <si>
    <t>Category</t>
  </si>
  <si>
    <t>M. Hadi</t>
  </si>
  <si>
    <t>M. Hadider Ali</t>
  </si>
  <si>
    <t>rayan_sajid</t>
  </si>
  <si>
    <t>m_hamid</t>
  </si>
  <si>
    <t>sajid_masih</t>
  </si>
  <si>
    <t>m_faisal</t>
  </si>
  <si>
    <t>M. Hamed</t>
  </si>
  <si>
    <t>M. Rafiq</t>
  </si>
  <si>
    <t>V-F</t>
  </si>
  <si>
    <t>M. Hamza</t>
  </si>
  <si>
    <t>Mujahid</t>
  </si>
  <si>
    <t>syed_hannan_shah</t>
  </si>
  <si>
    <t>VII-E</t>
  </si>
  <si>
    <t>syed_shakeel_shah</t>
  </si>
  <si>
    <t>Computer + Sports</t>
  </si>
  <si>
    <t>shayan_sohail</t>
  </si>
  <si>
    <t>sohail_rehman</t>
  </si>
  <si>
    <t>M. Haseeb</t>
  </si>
  <si>
    <t>S. Tahir Abbas</t>
  </si>
  <si>
    <t>Writing / Sports</t>
  </si>
  <si>
    <t>M. Haseeb Ahmed</t>
  </si>
  <si>
    <t>mubeen_ur_razzaq</t>
  </si>
  <si>
    <t>abdul_razzaq</t>
  </si>
  <si>
    <t>hashir</t>
  </si>
  <si>
    <t>umair_ahmed</t>
  </si>
  <si>
    <t>M. Hassan</t>
  </si>
  <si>
    <t>Sajawal Khan</t>
  </si>
  <si>
    <t>VIII-F</t>
  </si>
  <si>
    <t>M. Hassan Rizwan</t>
  </si>
  <si>
    <t>hassan_rizwan</t>
  </si>
  <si>
    <t>rizwan</t>
  </si>
  <si>
    <t>huzaifa</t>
  </si>
  <si>
    <t>amir</t>
  </si>
  <si>
    <t>M. Huzaifa</t>
  </si>
  <si>
    <t>M. Huzaifa Arshad</t>
  </si>
  <si>
    <t>Arshad Amjad</t>
  </si>
  <si>
    <t>Comp / IT / Game dev</t>
  </si>
  <si>
    <t>M. Moiz</t>
  </si>
  <si>
    <t>M. Sajjad</t>
  </si>
  <si>
    <t>malik_muhammad_rizwan</t>
  </si>
  <si>
    <t>M. Nisar</t>
  </si>
  <si>
    <t>malik_shehzad</t>
  </si>
  <si>
    <t>Imtiaz Ahmed</t>
  </si>
  <si>
    <t>hamza_sajid</t>
  </si>
  <si>
    <t>sajid_hussain</t>
  </si>
  <si>
    <t>VI-G</t>
  </si>
  <si>
    <t>Irfanullah</t>
  </si>
  <si>
    <t>m_bilal</t>
  </si>
  <si>
    <t>nazim_ali</t>
  </si>
  <si>
    <t>M. Reehan</t>
  </si>
  <si>
    <t>m_bilal_qadri</t>
  </si>
  <si>
    <t>tariq_islam</t>
  </si>
  <si>
    <t>M. Saad umer</t>
  </si>
  <si>
    <t>Umer Zaman</t>
  </si>
  <si>
    <t>M. Saim</t>
  </si>
  <si>
    <t>Ansar Javed</t>
  </si>
  <si>
    <t>m_haider_ali</t>
  </si>
  <si>
    <t>mustafa_ahmed</t>
  </si>
  <si>
    <t>Babar Ali</t>
  </si>
  <si>
    <t>iftikhar_ahmed</t>
  </si>
  <si>
    <t>M. Sarim Umer</t>
  </si>
  <si>
    <t>m_danish</t>
  </si>
  <si>
    <t>M. Shaheer</t>
  </si>
  <si>
    <t>M. Sibtain Hassan</t>
  </si>
  <si>
    <t>m_talha</t>
  </si>
  <si>
    <t>M. Amir</t>
  </si>
  <si>
    <t>sanaullah</t>
  </si>
  <si>
    <t>Comp + Arts</t>
  </si>
  <si>
    <t>M. Taha</t>
  </si>
  <si>
    <t>Riaz Ali</t>
  </si>
  <si>
    <t>yousaf_raza</t>
  </si>
  <si>
    <t>ali_raza</t>
  </si>
  <si>
    <t>Essay writing</t>
  </si>
  <si>
    <t>M. Taha Awan</t>
  </si>
  <si>
    <t>I-E</t>
  </si>
  <si>
    <t>M. Taimur</t>
  </si>
  <si>
    <t>m_anas</t>
  </si>
  <si>
    <t>M. Nawaz</t>
  </si>
  <si>
    <t>M. Talha</t>
  </si>
  <si>
    <t>rana_ahmed_raza</t>
  </si>
  <si>
    <t>shahid_naeem</t>
  </si>
  <si>
    <t>M. Umair Abid Ali</t>
  </si>
  <si>
    <t>Abid Ali</t>
  </si>
  <si>
    <t>Comp Course</t>
  </si>
  <si>
    <t>rehan</t>
  </si>
  <si>
    <t>M. Umar</t>
  </si>
  <si>
    <t>abdul_jabbar</t>
  </si>
  <si>
    <t>zulqarnain_mavia</t>
  </si>
  <si>
    <t>M. Umar Malik</t>
  </si>
  <si>
    <t>M. Saleem</t>
  </si>
  <si>
    <t>Comp IT</t>
  </si>
  <si>
    <t>M. Usman</t>
  </si>
  <si>
    <t>Owais Abbas</t>
  </si>
  <si>
    <t>Comp + IT / Elective</t>
  </si>
  <si>
    <t>Iftikhar Ahmed</t>
  </si>
  <si>
    <t>abdul_rehman_shah</t>
  </si>
  <si>
    <t>syed_waqar_ali_shah</t>
  </si>
  <si>
    <t>Comp / Sports / Football</t>
  </si>
  <si>
    <t>M. Uzair</t>
  </si>
  <si>
    <t>umer_usman</t>
  </si>
  <si>
    <t>M. Maroof</t>
  </si>
  <si>
    <t>usman_altaf</t>
  </si>
  <si>
    <t>Comp / Art</t>
  </si>
  <si>
    <t>IV-I</t>
  </si>
  <si>
    <t>m_talha_amin</t>
  </si>
  <si>
    <t>m_amin</t>
  </si>
  <si>
    <t>M. Uzair KH</t>
  </si>
  <si>
    <t>m_furqan_asghar</t>
  </si>
  <si>
    <t>parvez_asghar</t>
  </si>
  <si>
    <t>Comp / IT / Cricket</t>
  </si>
  <si>
    <t>M. Zarar</t>
  </si>
  <si>
    <t>M. Zubair</t>
  </si>
  <si>
    <t>Prep</t>
  </si>
  <si>
    <t>Maaz Hussain</t>
  </si>
  <si>
    <t>M. Hussain</t>
  </si>
  <si>
    <t>0335-3591523</t>
  </si>
  <si>
    <t>maaz</t>
  </si>
  <si>
    <t>sajjad</t>
  </si>
  <si>
    <t>Malik Rizwan</t>
  </si>
  <si>
    <t>m_imran</t>
  </si>
  <si>
    <t>VIII-G</t>
  </si>
  <si>
    <t>Manan</t>
  </si>
  <si>
    <t>Moid Ali</t>
  </si>
  <si>
    <t>duraiz</t>
  </si>
  <si>
    <t>absar</t>
  </si>
  <si>
    <t>Moiz Naeem</t>
  </si>
  <si>
    <t>Comp editing / Sports</t>
  </si>
  <si>
    <t>Mubeen-ur-Razzaq</t>
  </si>
  <si>
    <t>Muhammad Ali</t>
  </si>
  <si>
    <t>Akhtar Ali</t>
  </si>
  <si>
    <t>ahmed</t>
  </si>
  <si>
    <t>hammad_jamil</t>
  </si>
  <si>
    <t>jamil_akhter</t>
  </si>
  <si>
    <t>mujahid</t>
  </si>
  <si>
    <t>VII-D</t>
  </si>
  <si>
    <t>Muhammad Arsalan</t>
  </si>
  <si>
    <t>Ashiq Ali</t>
  </si>
  <si>
    <t>Mustafa</t>
  </si>
  <si>
    <t>owais</t>
  </si>
  <si>
    <t>adnan</t>
  </si>
  <si>
    <t>Noor Muhammad</t>
  </si>
  <si>
    <t>ahtesham</t>
  </si>
  <si>
    <t>Jamshed Ahmed</t>
  </si>
  <si>
    <t>ishtiaq_hussain_shah</t>
  </si>
  <si>
    <t>Comp / Badminton</t>
  </si>
  <si>
    <t>Owais</t>
  </si>
  <si>
    <t>Adnan</t>
  </si>
  <si>
    <t>Qasim</t>
  </si>
  <si>
    <t>Tariq Javed</t>
  </si>
  <si>
    <t>hassan_bin_asad</t>
  </si>
  <si>
    <t>asad_hussain</t>
  </si>
  <si>
    <t>ibrahim</t>
  </si>
  <si>
    <t>Rabbis Abbas</t>
  </si>
  <si>
    <t>sadiq</t>
  </si>
  <si>
    <t>Rana Ahmed Raz</t>
  </si>
  <si>
    <t>1st Class</t>
  </si>
  <si>
    <t>Rana Zuber</t>
  </si>
  <si>
    <t>Zafar Iqbal</t>
  </si>
  <si>
    <t>Rao Ahmed</t>
  </si>
  <si>
    <t>m_saad_umar</t>
  </si>
  <si>
    <t>Zaheer Hussain</t>
  </si>
  <si>
    <t>umar_zaman</t>
  </si>
  <si>
    <t>hassan_raza</t>
  </si>
  <si>
    <t>Rayan</t>
  </si>
  <si>
    <t>Rayan Sajid</t>
  </si>
  <si>
    <t>M. Sajid</t>
  </si>
  <si>
    <t>abdul_raheem</t>
  </si>
  <si>
    <t>ghulam_mujtaba</t>
  </si>
  <si>
    <t>salman_ahmed</t>
  </si>
  <si>
    <t>imran_ahmed</t>
  </si>
  <si>
    <t>S. Shaheer</t>
  </si>
  <si>
    <t>Comp / Sports / Music</t>
  </si>
  <si>
    <t>S. Zohair</t>
  </si>
  <si>
    <t>Saad ullah</t>
  </si>
  <si>
    <t>M. Sohail</t>
  </si>
  <si>
    <t>m_saadullah</t>
  </si>
  <si>
    <t>rana_zubair</t>
  </si>
  <si>
    <t>m_sohail</t>
  </si>
  <si>
    <t>m_ayub</t>
  </si>
  <si>
    <t>Salar</t>
  </si>
  <si>
    <t>S. Irfan Ali</t>
  </si>
  <si>
    <t>Salman Ahmed</t>
  </si>
  <si>
    <t>Imran Ahmed</t>
  </si>
  <si>
    <t>female</t>
  </si>
  <si>
    <t>IX-H</t>
  </si>
  <si>
    <t>m_absar</t>
  </si>
  <si>
    <t>m_sarwar</t>
  </si>
  <si>
    <t>Saqbin Razzaq</t>
  </si>
  <si>
    <t>moaeed_ali</t>
  </si>
  <si>
    <t>ali_kausar</t>
  </si>
  <si>
    <t>X-A</t>
  </si>
  <si>
    <t>Comp + Spoken Eng</t>
  </si>
  <si>
    <t>Shayan Sohail</t>
  </si>
  <si>
    <t>Subhan Ali</t>
  </si>
  <si>
    <t>m_maaz</t>
  </si>
  <si>
    <t>ahmed_ali</t>
  </si>
  <si>
    <t>akhtar_ali</t>
  </si>
  <si>
    <t>Subhan Altaf</t>
  </si>
  <si>
    <t>Kamran Azam</t>
  </si>
  <si>
    <t>Suleman Saleem</t>
  </si>
  <si>
    <t>M. Albe</t>
  </si>
  <si>
    <t>m_farhan</t>
  </si>
  <si>
    <t>jaffar</t>
  </si>
  <si>
    <t>syed_wasi</t>
  </si>
  <si>
    <t>wasi_farhan</t>
  </si>
  <si>
    <t>Syed M. Ahdisham</t>
  </si>
  <si>
    <t>Ashfaq Husain</t>
  </si>
  <si>
    <t>Tayyab</t>
  </si>
  <si>
    <t>m_rafiq</t>
  </si>
  <si>
    <t>Naveed</t>
  </si>
  <si>
    <t>mubeen_imran</t>
  </si>
  <si>
    <t>imran_asghar</t>
  </si>
  <si>
    <t>araish</t>
  </si>
  <si>
    <t>Comp + Volleyball</t>
  </si>
  <si>
    <t>suleman</t>
  </si>
  <si>
    <t>saleem_mukhtar</t>
  </si>
  <si>
    <t>Tayyab Saif</t>
  </si>
  <si>
    <t>daniyal</t>
  </si>
  <si>
    <t>M. Saif</t>
  </si>
  <si>
    <t>ghulam_nabi</t>
  </si>
  <si>
    <t>shehzad_yasin</t>
  </si>
  <si>
    <t>ghulam_yasin</t>
  </si>
  <si>
    <t>m_essa</t>
  </si>
  <si>
    <t>rasool_baksh</t>
  </si>
  <si>
    <t>Umar</t>
  </si>
  <si>
    <t>ayan</t>
  </si>
  <si>
    <t>akramullah</t>
  </si>
  <si>
    <t>uzair_maroof</t>
  </si>
  <si>
    <t>Umar Usman</t>
  </si>
  <si>
    <t>maroof</t>
  </si>
  <si>
    <t>Usman Altaf</t>
  </si>
  <si>
    <t>Wajih ullah</t>
  </si>
  <si>
    <t>m_saim</t>
  </si>
  <si>
    <t>Mushtaq Hussain</t>
  </si>
  <si>
    <t>babar_ali</t>
  </si>
  <si>
    <t>Eng / Urdu Essay</t>
  </si>
  <si>
    <t>Wajihullah</t>
  </si>
  <si>
    <t>Abdul Jabbar</t>
  </si>
  <si>
    <t>sajawal_khan</t>
  </si>
  <si>
    <t>Yahya</t>
  </si>
  <si>
    <t>Zia ullah</t>
  </si>
  <si>
    <t>Yousaf</t>
  </si>
  <si>
    <t>Ali Raza</t>
  </si>
  <si>
    <t>mannan_ahmed</t>
  </si>
  <si>
    <t>haroon_ahmed</t>
  </si>
  <si>
    <t>Computer (Sylani)</t>
  </si>
  <si>
    <t>Zayyam Shakir</t>
  </si>
  <si>
    <t>rabis_abbas</t>
  </si>
  <si>
    <t>asif_hussain</t>
  </si>
  <si>
    <t>Abeer</t>
  </si>
  <si>
    <t>Female</t>
  </si>
  <si>
    <t>Science</t>
  </si>
  <si>
    <t>Abeera</t>
  </si>
  <si>
    <t>Shoukat</t>
  </si>
  <si>
    <t>Abeera Shoukat</t>
  </si>
  <si>
    <t>manzoor_ahmed</t>
  </si>
  <si>
    <t>Shoukat ullah</t>
  </si>
  <si>
    <t>Arts / Eng</t>
  </si>
  <si>
    <t>Abiha</t>
  </si>
  <si>
    <t>Web Designing</t>
  </si>
  <si>
    <t>Abrish Fatima</t>
  </si>
  <si>
    <t>m_hammad</t>
  </si>
  <si>
    <t>niazy_khan</t>
  </si>
  <si>
    <t>moaz_bin_mujahid</t>
  </si>
  <si>
    <t>mujahid_manzoor</t>
  </si>
  <si>
    <t>Abrish Fatma</t>
  </si>
  <si>
    <t>Afifa Naz</t>
  </si>
  <si>
    <t>Jamshed Iqbal</t>
  </si>
  <si>
    <t>sarim_umar</t>
  </si>
  <si>
    <t>m_zahid</t>
  </si>
  <si>
    <t>VIII-A</t>
  </si>
  <si>
    <t>Aiman Adnan</t>
  </si>
  <si>
    <t>m_nisaar</t>
  </si>
  <si>
    <t>Art + Comp</t>
  </si>
  <si>
    <t>m_younus</t>
  </si>
  <si>
    <t>Aimen Tehreem</t>
  </si>
  <si>
    <t>Adeel Javed</t>
  </si>
  <si>
    <t>Aleena</t>
  </si>
  <si>
    <t>Alishba Iftikhar</t>
  </si>
  <si>
    <t>huzaifa_amjad</t>
  </si>
  <si>
    <t>amjad_rasheed</t>
  </si>
  <si>
    <t>Alishba Rani</t>
  </si>
  <si>
    <t>III-C</t>
  </si>
  <si>
    <t>Writing / Comp</t>
  </si>
  <si>
    <t>Amabia Amir</t>
  </si>
  <si>
    <t>m_rayyan</t>
  </si>
  <si>
    <t>Anaya Jafari</t>
  </si>
  <si>
    <t>Areeba Naz</t>
  </si>
  <si>
    <t>Arfa</t>
  </si>
  <si>
    <t>5-B</t>
  </si>
  <si>
    <t>wajiullah</t>
  </si>
  <si>
    <t>mushtaq_hussain</t>
  </si>
  <si>
    <t>Arisha</t>
  </si>
  <si>
    <t>Ashraf Masih</t>
  </si>
  <si>
    <t>Ashna Jabeen</t>
  </si>
  <si>
    <t>Rao Abdul Manan</t>
  </si>
  <si>
    <t>Asma Fatima</t>
  </si>
  <si>
    <t>Zeeshan</t>
  </si>
  <si>
    <t>Comp / Arts</t>
  </si>
  <si>
    <t>Asra Zain</t>
  </si>
  <si>
    <t>Zia-ul-Hassan</t>
  </si>
  <si>
    <t>Atiqa Jabeen</t>
  </si>
  <si>
    <t>Abdul Ghani</t>
  </si>
  <si>
    <t>Atiqa Jahan</t>
  </si>
  <si>
    <t>M. Ilyas</t>
  </si>
  <si>
    <t>Ayana Victor</t>
  </si>
  <si>
    <t>Victor</t>
  </si>
  <si>
    <t>Art / Category</t>
  </si>
  <si>
    <t>Ayesha</t>
  </si>
  <si>
    <t>M. Asghar</t>
  </si>
  <si>
    <t>Ayesha Aqeel</t>
  </si>
  <si>
    <t>Aqeel Abbas</t>
  </si>
  <si>
    <t>I-A</t>
  </si>
  <si>
    <t>Ayesha Fatima</t>
  </si>
  <si>
    <t>Itizaz Ahsan</t>
  </si>
  <si>
    <t>Ayesha Naveed</t>
  </si>
  <si>
    <t>Ayesha Sadiqa</t>
  </si>
  <si>
    <t>Shabir Hussain</t>
  </si>
  <si>
    <t>03335043884 / 03028107080</t>
  </si>
  <si>
    <t>Computer / IT</t>
  </si>
  <si>
    <t>Ayeza Khan</t>
  </si>
  <si>
    <t>Muhammad Ilyas</t>
  </si>
  <si>
    <t>Azeen</t>
  </si>
  <si>
    <t>Pervaiz Khan</t>
  </si>
  <si>
    <t>Dua Fatima</t>
  </si>
  <si>
    <t>V-B</t>
  </si>
  <si>
    <t>Eman</t>
  </si>
  <si>
    <t>Eman Azmat</t>
  </si>
  <si>
    <t>M. Azmat</t>
  </si>
  <si>
    <t>Eman Fatima</t>
  </si>
  <si>
    <t>Mumtaz Hussain</t>
  </si>
  <si>
    <t>Graphic</t>
  </si>
  <si>
    <t>Eman Naveed</t>
  </si>
  <si>
    <t>Naveed Jawad</t>
  </si>
  <si>
    <t>Eman Shehzad</t>
  </si>
  <si>
    <t>Shehzad Ahmed</t>
  </si>
  <si>
    <t>Eng Essay</t>
  </si>
  <si>
    <t>Eman Tahir</t>
  </si>
  <si>
    <t>Tahir Abbas</t>
  </si>
  <si>
    <t>Eshal</t>
  </si>
  <si>
    <t>Badminton / Comp</t>
  </si>
  <si>
    <t>Eshal Ansari</t>
  </si>
  <si>
    <t>V-A</t>
  </si>
  <si>
    <t>Computer + Art</t>
  </si>
  <si>
    <t>Fatima Aqeel</t>
  </si>
  <si>
    <t>VI-C</t>
  </si>
  <si>
    <t>Writing / Sports / Comp</t>
  </si>
  <si>
    <t>Fatima Sajid</t>
  </si>
  <si>
    <t>Sajid</t>
  </si>
  <si>
    <t>Fiaza</t>
  </si>
  <si>
    <t>Farrukh</t>
  </si>
  <si>
    <t>Habiba</t>
  </si>
  <si>
    <t>Hadia Abdulla</t>
  </si>
  <si>
    <t>Hafsa Asif</t>
  </si>
  <si>
    <t>Hafsa Noor</t>
  </si>
  <si>
    <t>Nazim</t>
  </si>
  <si>
    <t>Hamnah</t>
  </si>
  <si>
    <t>Haniya Massoad</t>
  </si>
  <si>
    <t>IV-C</t>
  </si>
  <si>
    <t>Hateem</t>
  </si>
  <si>
    <t>Muzamil</t>
  </si>
  <si>
    <t>Hoorain Amir</t>
  </si>
  <si>
    <t>Amir Shahzad</t>
  </si>
  <si>
    <t>IV-D</t>
  </si>
  <si>
    <t>Hooria Anwar</t>
  </si>
  <si>
    <t>S. Anwar</t>
  </si>
  <si>
    <t>XI-B</t>
  </si>
  <si>
    <t>Comp + Sea Scout / Sports</t>
  </si>
  <si>
    <t>Horain</t>
  </si>
  <si>
    <t>4-th</t>
  </si>
  <si>
    <t>Horain Azmat</t>
  </si>
  <si>
    <t>Horain Fatima</t>
  </si>
  <si>
    <t>Mustafa Ijaz</t>
  </si>
  <si>
    <t>10-B</t>
  </si>
  <si>
    <t>Eng Lang</t>
  </si>
  <si>
    <t>Horan Fatima</t>
  </si>
  <si>
    <t>Art &amp; Crafts / Comp</t>
  </si>
  <si>
    <t>Horia Naz</t>
  </si>
  <si>
    <t>M. Niaz</t>
  </si>
  <si>
    <t>Humaira</t>
  </si>
  <si>
    <t>Humaira Adnan</t>
  </si>
  <si>
    <t>Huria Fatima</t>
  </si>
  <si>
    <t>Iman Abbass</t>
  </si>
  <si>
    <t>Ghulam Abbass</t>
  </si>
  <si>
    <t>Iqra Eman</t>
  </si>
  <si>
    <t>Hafeez Akhtar</t>
  </si>
  <si>
    <t>Iqra Zulfiqar</t>
  </si>
  <si>
    <t>Zulfiqar Ali</t>
  </si>
  <si>
    <t>VII-I</t>
  </si>
  <si>
    <t>Izza Fatima</t>
  </si>
  <si>
    <t>Adnan Mehmood</t>
  </si>
  <si>
    <t>Janista Sajid</t>
  </si>
  <si>
    <t>III-D</t>
  </si>
  <si>
    <t>Karishma</t>
  </si>
  <si>
    <t>Faizullah</t>
  </si>
  <si>
    <t>Khadija Fatima</t>
  </si>
  <si>
    <t>II-G</t>
  </si>
  <si>
    <t>Khola Shehzadi</t>
  </si>
  <si>
    <t>Gull Nawab Khan</t>
  </si>
  <si>
    <t>8-th</t>
  </si>
  <si>
    <t>Laiba Saroosh</t>
  </si>
  <si>
    <t>Sanaullah Wahab</t>
  </si>
  <si>
    <t>6-B</t>
  </si>
  <si>
    <t>Madiha Faiz</t>
  </si>
  <si>
    <t>Mahnoor</t>
  </si>
  <si>
    <t>Mahnoor Fatima</t>
  </si>
  <si>
    <t>Maida</t>
  </si>
  <si>
    <t>Maliha Noor</t>
  </si>
  <si>
    <t>Sharafat Hussain</t>
  </si>
  <si>
    <t>Malika Noor</t>
  </si>
  <si>
    <t>Manahil Khurram</t>
  </si>
  <si>
    <t>M. Shahid Khan</t>
  </si>
  <si>
    <t>Mariyam Zafar</t>
  </si>
  <si>
    <t>Zafar Hussein</t>
  </si>
  <si>
    <t>Maryam Ashraf</t>
  </si>
  <si>
    <t>Maryam Zafar</t>
  </si>
  <si>
    <t>Calligraphy</t>
  </si>
  <si>
    <t>Mehak</t>
  </si>
  <si>
    <t>Mehak Zehra</t>
  </si>
  <si>
    <t>Mehk Fatima</t>
  </si>
  <si>
    <t>Akhter Abbass</t>
  </si>
  <si>
    <t>Minahil Iftikhar</t>
  </si>
  <si>
    <t>Atik-ur-Husain</t>
  </si>
  <si>
    <t>Musfirah</t>
  </si>
  <si>
    <t>Shahid Iqbal</t>
  </si>
  <si>
    <t>Comp / IT / Sports</t>
  </si>
  <si>
    <t>Muskan</t>
  </si>
  <si>
    <t>Wahid Bakhsh</t>
  </si>
  <si>
    <t>X-G1</t>
  </si>
  <si>
    <t>Muskan Fatima</t>
  </si>
  <si>
    <t>M. Zareef</t>
  </si>
  <si>
    <t>VII-B</t>
  </si>
  <si>
    <t>Nabila Fatima</t>
  </si>
  <si>
    <t>Ghayur Abbas</t>
  </si>
  <si>
    <t>Naima Khan</t>
  </si>
  <si>
    <t>Nashra Fatima</t>
  </si>
  <si>
    <t>Nida Iftikhar</t>
  </si>
  <si>
    <t>VIII-C</t>
  </si>
  <si>
    <t>Nimra</t>
  </si>
  <si>
    <t>Umespoon</t>
  </si>
  <si>
    <t>Nitalia</t>
  </si>
  <si>
    <t>Haroon Masih</t>
  </si>
  <si>
    <t>Qirat Fatima</t>
  </si>
  <si>
    <t>Javed Iqbal</t>
  </si>
  <si>
    <t>Qudisa</t>
  </si>
  <si>
    <t>Azhar Naveed</t>
  </si>
  <si>
    <t>Qussat-ul-Ain</t>
  </si>
  <si>
    <t>Sports / Comp + IT</t>
  </si>
  <si>
    <t>Rabeeh Sehar</t>
  </si>
  <si>
    <t>Kaisar Mehmood</t>
  </si>
  <si>
    <t>Ramna Fatima</t>
  </si>
  <si>
    <t>Essay</t>
  </si>
  <si>
    <t>Rimla</t>
  </si>
  <si>
    <t>VI-D</t>
  </si>
  <si>
    <t>Sadia Zubair</t>
  </si>
  <si>
    <t>Safa Shakir</t>
  </si>
  <si>
    <t>Saleha</t>
  </si>
  <si>
    <t>Saman Jahan</t>
  </si>
  <si>
    <t>Samia Tahir</t>
  </si>
  <si>
    <t>Tahir Akbar</t>
  </si>
  <si>
    <t>Samia Usman</t>
  </si>
  <si>
    <t>Sania Nawaz</t>
  </si>
  <si>
    <t>Haq Nawaz</t>
  </si>
  <si>
    <t>Sania Zia</t>
  </si>
  <si>
    <t>Seema</t>
  </si>
  <si>
    <t>Sports + Calligraphy</t>
  </si>
  <si>
    <t>Seemab</t>
  </si>
  <si>
    <t>Nasir</t>
  </si>
  <si>
    <t>Sports + Eng Essay</t>
  </si>
  <si>
    <t>Seemab Afzal</t>
  </si>
  <si>
    <t>Afzal</t>
  </si>
  <si>
    <t>Sehar Fatima</t>
  </si>
  <si>
    <t>Shifa</t>
  </si>
  <si>
    <t>Sumaiya Amir</t>
  </si>
  <si>
    <t>Khurram Iftikhar</t>
  </si>
  <si>
    <t>Syeda Armish</t>
  </si>
  <si>
    <t>X-F</t>
  </si>
  <si>
    <t>Syeda Ayesha</t>
  </si>
  <si>
    <t>Sayed Zahid Ali</t>
  </si>
  <si>
    <t>Syeda Zahra Fatima</t>
  </si>
  <si>
    <t>VII-A</t>
  </si>
  <si>
    <t>Tooba Saif</t>
  </si>
  <si>
    <t>Umaima Noor</t>
  </si>
  <si>
    <t>Muhammad Azam</t>
  </si>
  <si>
    <t>Umama Zainb</t>
  </si>
  <si>
    <t>Umav</t>
  </si>
  <si>
    <t>Umme-e-Rubab</t>
  </si>
  <si>
    <t>Unama Bala</t>
  </si>
  <si>
    <t>Cricket / Comp IT / English</t>
  </si>
  <si>
    <t>Urwa</t>
  </si>
  <si>
    <t>Urwa Bibi</t>
  </si>
  <si>
    <t>Wajeeha Zafar</t>
  </si>
  <si>
    <t>Warisha Fatima</t>
  </si>
  <si>
    <t>Zabergja</t>
  </si>
  <si>
    <t>Zainab Nagi</t>
  </si>
  <si>
    <t>Naqib Akbar</t>
  </si>
  <si>
    <t>English Lang</t>
  </si>
  <si>
    <t>Zimal Amir</t>
  </si>
  <si>
    <t>Jawad Mohsin + Hanfa</t>
  </si>
  <si>
    <t>Co-Ed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</si>
</sst>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-mmmm-yyyy"/>
    <numFmt numFmtId="165" formatCode="dd-mmmm-yyyy"/>
    <numFmt numFmtId="166" formatCode="m/d/yyyy"/>
  </numFmts>
  <fonts count="9">
    <font>
      <sz val="10.0"/>
      <color rgb="FF000000"/>
      <name val="Arial"/>
      <scheme val="minor"/>
    </font>
    <font>
      <b/>
      <sz val="14.0"/>
      <color theme="1"/>
      <name val="Arial"/>
      <scheme val="minor"/>
    </font>
    <font/>
    <font>
      <b/>
      <sz val="16.0"/>
      <color rgb="FF000000"/>
      <name val="Calibri"/>
    </font>
    <font>
      <b/>
      <sz val="12.0"/>
      <color rgb="FF000000"/>
      <name val="Calibri"/>
    </font>
    <font>
      <color theme="1"/>
      <name val="Arial"/>
      <scheme val="minor"/>
    </font>
    <font>
      <sz val="12.0"/>
      <color rgb="FF000000"/>
      <name val="Calibri"/>
    </font>
    <font>
      <b/>
      <color rgb="FF1F1F1F"/>
      <name val="Arial"/>
      <scheme val="minor"/>
    </font>
    <font>
      <b/>
      <color theme="1"/>
      <name val="Arial"/>
      <scheme val="minor"/>
    </font>
  </fonts>
  <fills count="10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  <fill>
      <patternFill patternType="solid">
        <fgColor rgb="FFFFC000"/>
        <bgColor rgb="FFFFC000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00FF00"/>
        <bgColor rgb="FF00FF00"/>
      </patternFill>
    </fill>
    <fill>
      <patternFill patternType="solid">
        <fgColor rgb="FFFFD966"/>
        <bgColor rgb="FFFFD966"/>
      </patternFill>
    </fill>
    <fill>
      <patternFill patternType="solid">
        <fgColor rgb="FFE06666"/>
        <bgColor rgb="FFE06666"/>
      </patternFill>
    </fill>
    <fill>
      <patternFill patternType="solid">
        <fgColor rgb="FFF1C232"/>
        <bgColor rgb="FFF1C232"/>
      </patternFill>
    </fill>
  </fills>
  <borders count="14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2" fillId="0" fontId="2" numFmtId="0" xfId="0" applyBorder="1" applyFont="1"/>
    <xf borderId="3" fillId="3" fontId="3" numFmtId="0" xfId="0" applyAlignment="1" applyBorder="1" applyFill="1" applyFont="1">
      <alignment horizontal="center" readingOrder="0" shrinkToFit="0" wrapText="0"/>
    </xf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7" fillId="4" fontId="4" numFmtId="0" xfId="0" applyAlignment="1" applyBorder="1" applyFill="1" applyFont="1">
      <alignment readingOrder="0" shrinkToFit="0" vertical="bottom" wrapText="0"/>
    </xf>
    <xf borderId="0" fillId="2" fontId="5" numFmtId="0" xfId="0" applyAlignment="1" applyFont="1">
      <alignment readingOrder="0"/>
    </xf>
    <xf borderId="8" fillId="0" fontId="2" numFmtId="0" xfId="0" applyBorder="1" applyFont="1"/>
    <xf borderId="9" fillId="0" fontId="2" numFmtId="0" xfId="0" applyBorder="1" applyFont="1"/>
    <xf borderId="7" fillId="0" fontId="6" numFmtId="0" xfId="0" applyAlignment="1" applyBorder="1" applyFont="1">
      <alignment horizontal="right" readingOrder="0" shrinkToFit="0" vertical="bottom" wrapText="0"/>
    </xf>
    <xf borderId="7" fillId="0" fontId="6" numFmtId="0" xfId="0" applyAlignment="1" applyBorder="1" applyFont="1">
      <alignment readingOrder="0" shrinkToFit="0" vertical="bottom" wrapText="0"/>
    </xf>
    <xf borderId="10" fillId="0" fontId="2" numFmtId="0" xfId="0" applyBorder="1" applyFont="1"/>
    <xf borderId="0" fillId="5" fontId="5" numFmtId="0" xfId="0" applyAlignment="1" applyFill="1" applyFont="1">
      <alignment readingOrder="0"/>
    </xf>
    <xf borderId="7" fillId="4" fontId="7" numFmtId="0" xfId="0" applyAlignment="1" applyBorder="1" applyFont="1">
      <alignment horizontal="center" readingOrder="0"/>
    </xf>
    <xf borderId="7" fillId="4" fontId="8" numFmtId="0" xfId="0" applyAlignment="1" applyBorder="1" applyFont="1">
      <alignment horizontal="center" readingOrder="0"/>
    </xf>
    <xf borderId="0" fillId="0" fontId="5" numFmtId="0" xfId="0" applyAlignment="1" applyFont="1">
      <alignment readingOrder="0"/>
    </xf>
    <xf borderId="0" fillId="0" fontId="5" numFmtId="164" xfId="0" applyAlignment="1" applyFont="1" applyNumberFormat="1">
      <alignment readingOrder="0"/>
    </xf>
    <xf borderId="7" fillId="4" fontId="8" numFmtId="164" xfId="0" applyAlignment="1" applyBorder="1" applyFont="1" applyNumberFormat="1">
      <alignment horizontal="center" readingOrder="0"/>
    </xf>
    <xf borderId="7" fillId="2" fontId="8" numFmtId="0" xfId="0" applyAlignment="1" applyBorder="1" applyFont="1">
      <alignment horizontal="center" readingOrder="0"/>
    </xf>
    <xf borderId="0" fillId="0" fontId="5" numFmtId="165" xfId="0" applyAlignment="1" applyFont="1" applyNumberFormat="1">
      <alignment readingOrder="0"/>
    </xf>
    <xf borderId="0" fillId="5" fontId="5" numFmtId="0" xfId="0" applyFont="1"/>
    <xf borderId="7" fillId="2" fontId="8" numFmtId="0" xfId="0" applyAlignment="1" applyBorder="1" applyFont="1">
      <alignment horizontal="center"/>
    </xf>
    <xf borderId="7" fillId="0" fontId="5" numFmtId="0" xfId="0" applyAlignment="1" applyBorder="1" applyFont="1">
      <alignment readingOrder="0"/>
    </xf>
    <xf borderId="7" fillId="0" fontId="5" numFmtId="0" xfId="0" applyAlignment="1" applyBorder="1" applyFont="1">
      <alignment horizontal="center" readingOrder="0"/>
    </xf>
    <xf borderId="11" fillId="2" fontId="5" numFmtId="0" xfId="0" applyAlignment="1" applyBorder="1" applyFont="1">
      <alignment horizontal="center" readingOrder="0" vertical="top"/>
    </xf>
    <xf borderId="7" fillId="6" fontId="5" numFmtId="0" xfId="0" applyAlignment="1" applyBorder="1" applyFill="1" applyFont="1">
      <alignment readingOrder="0"/>
    </xf>
    <xf borderId="7" fillId="3" fontId="5" numFmtId="0" xfId="0" applyAlignment="1" applyBorder="1" applyFont="1">
      <alignment horizontal="center" readingOrder="0"/>
    </xf>
    <xf borderId="7" fillId="0" fontId="5" numFmtId="0" xfId="0" applyAlignment="1" applyBorder="1" applyFont="1">
      <alignment horizontal="center"/>
    </xf>
    <xf borderId="7" fillId="0" fontId="5" numFmtId="0" xfId="0" applyBorder="1" applyFont="1"/>
    <xf borderId="12" fillId="2" fontId="5" numFmtId="0" xfId="0" applyAlignment="1" applyBorder="1" applyFont="1">
      <alignment horizontal="center" readingOrder="0" vertical="top"/>
    </xf>
    <xf borderId="7" fillId="7" fontId="5" numFmtId="0" xfId="0" applyAlignment="1" applyBorder="1" applyFill="1" applyFont="1">
      <alignment horizontal="center" readingOrder="0"/>
    </xf>
    <xf borderId="12" fillId="0" fontId="2" numFmtId="0" xfId="0" applyBorder="1" applyFont="1"/>
    <xf borderId="7" fillId="8" fontId="5" numFmtId="0" xfId="0" applyAlignment="1" applyBorder="1" applyFill="1" applyFont="1">
      <alignment readingOrder="0"/>
    </xf>
    <xf borderId="7" fillId="0" fontId="6" numFmtId="166" xfId="0" applyAlignment="1" applyBorder="1" applyFont="1" applyNumberFormat="1">
      <alignment horizontal="right" readingOrder="0" shrinkToFit="0" vertical="bottom" wrapText="0"/>
    </xf>
    <xf borderId="7" fillId="5" fontId="5" numFmtId="0" xfId="0" applyAlignment="1" applyBorder="1" applyFont="1">
      <alignment readingOrder="0"/>
    </xf>
    <xf borderId="7" fillId="9" fontId="5" numFmtId="0" xfId="0" applyAlignment="1" applyBorder="1" applyFill="1" applyFont="1">
      <alignment readingOrder="0"/>
    </xf>
    <xf borderId="13" fillId="2" fontId="5" numFmtId="0" xfId="0" applyAlignment="1" applyBorder="1" applyFont="1">
      <alignment horizontal="center" readingOrder="0" vertical="top"/>
    </xf>
    <xf borderId="13" fillId="0" fontId="2" numFmtId="0" xfId="0" applyBorder="1" applyFont="1"/>
  </cellXfs>
  <cellStyles count="1">
    <cellStyle xfId="0" name="Normal" builtinId="0"/>
  </cellStyles>
  <dxfs count="3"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88"/>
    <col customWidth="1" min="2" max="2" width="18.75"/>
    <col customWidth="1" min="3" max="3" width="20.0"/>
    <col customWidth="1" min="4" max="4" width="6.75"/>
    <col customWidth="1" min="5" max="5" width="13.75"/>
    <col customWidth="1" min="14" max="14" width="13.25"/>
    <col customWidth="1" min="15" max="15" width="17.75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5"/>
    </row>
    <row r="2">
      <c r="A2" s="9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3"/>
    </row>
    <row r="3">
      <c r="A3" s="15" t="s">
        <v>26</v>
      </c>
      <c r="B3" s="16" t="s">
        <v>5</v>
      </c>
      <c r="C3" s="16" t="s">
        <v>32</v>
      </c>
      <c r="D3" s="16" t="s">
        <v>35</v>
      </c>
      <c r="E3" s="19">
        <v>46188.0</v>
      </c>
      <c r="F3" s="19">
        <v>46190.0</v>
      </c>
      <c r="G3" s="19">
        <v>46195.0</v>
      </c>
      <c r="H3" s="19">
        <v>46197.0</v>
      </c>
      <c r="I3" s="19">
        <v>46202.0</v>
      </c>
      <c r="J3" s="19">
        <v>46204.0</v>
      </c>
      <c r="K3" s="19">
        <v>46209.0</v>
      </c>
      <c r="L3" s="19">
        <v>46211.0</v>
      </c>
      <c r="M3" s="19">
        <v>46216.0</v>
      </c>
      <c r="N3" s="19">
        <v>46218.0</v>
      </c>
      <c r="O3" s="19">
        <v>46223.0</v>
      </c>
      <c r="P3" s="19">
        <v>46225.0</v>
      </c>
      <c r="Q3" s="19">
        <v>46230.0</v>
      </c>
      <c r="R3" s="19">
        <v>46232.0</v>
      </c>
      <c r="S3" s="20" t="s">
        <v>53</v>
      </c>
      <c r="T3" s="20" t="s">
        <v>56</v>
      </c>
      <c r="U3" s="20" t="s">
        <v>58</v>
      </c>
    </row>
    <row r="4">
      <c r="A4" s="15"/>
      <c r="B4" s="16" t="s">
        <v>60</v>
      </c>
      <c r="C4" s="16"/>
      <c r="D4" s="16"/>
      <c r="E4" s="16">
        <f t="shared" ref="E4:R4" si="1">COUNTIF(E6:E63, "P")</f>
        <v>40</v>
      </c>
      <c r="F4" s="16">
        <f t="shared" si="1"/>
        <v>39</v>
      </c>
      <c r="G4" s="16">
        <f t="shared" si="1"/>
        <v>41</v>
      </c>
      <c r="H4" s="16">
        <f t="shared" si="1"/>
        <v>34</v>
      </c>
      <c r="I4" s="16">
        <f t="shared" si="1"/>
        <v>38</v>
      </c>
      <c r="J4" s="16">
        <f t="shared" si="1"/>
        <v>33</v>
      </c>
      <c r="K4" s="16">
        <f t="shared" si="1"/>
        <v>30</v>
      </c>
      <c r="L4" s="16">
        <f t="shared" si="1"/>
        <v>31</v>
      </c>
      <c r="M4" s="16">
        <f t="shared" si="1"/>
        <v>0</v>
      </c>
      <c r="N4" s="16">
        <f t="shared" si="1"/>
        <v>24</v>
      </c>
      <c r="O4" s="16">
        <f t="shared" si="1"/>
        <v>0</v>
      </c>
      <c r="P4" s="16">
        <f t="shared" si="1"/>
        <v>16</v>
      </c>
      <c r="Q4" s="16">
        <f t="shared" si="1"/>
        <v>20</v>
      </c>
      <c r="R4" s="16">
        <f t="shared" si="1"/>
        <v>0</v>
      </c>
      <c r="S4" s="23"/>
      <c r="T4" s="23"/>
      <c r="U4" s="23"/>
    </row>
    <row r="5">
      <c r="A5" s="15"/>
      <c r="B5" s="16" t="s">
        <v>85</v>
      </c>
      <c r="C5" s="16"/>
      <c r="D5" s="16"/>
      <c r="E5" s="16">
        <f t="shared" ref="E5:R5" si="2">COUNTIF(E6:E64, "A")</f>
        <v>19</v>
      </c>
      <c r="F5" s="16">
        <f t="shared" si="2"/>
        <v>20</v>
      </c>
      <c r="G5" s="16">
        <f t="shared" si="2"/>
        <v>18</v>
      </c>
      <c r="H5" s="16">
        <f t="shared" si="2"/>
        <v>25</v>
      </c>
      <c r="I5" s="16">
        <f t="shared" si="2"/>
        <v>21</v>
      </c>
      <c r="J5" s="16">
        <f t="shared" si="2"/>
        <v>26</v>
      </c>
      <c r="K5" s="16">
        <f t="shared" si="2"/>
        <v>28</v>
      </c>
      <c r="L5" s="16">
        <f t="shared" si="2"/>
        <v>28</v>
      </c>
      <c r="M5" s="16">
        <f t="shared" si="2"/>
        <v>0</v>
      </c>
      <c r="N5" s="16">
        <f t="shared" si="2"/>
        <v>35</v>
      </c>
      <c r="O5" s="16">
        <f t="shared" si="2"/>
        <v>0</v>
      </c>
      <c r="P5" s="16">
        <f t="shared" si="2"/>
        <v>43</v>
      </c>
      <c r="Q5" s="16">
        <f t="shared" si="2"/>
        <v>39</v>
      </c>
      <c r="R5" s="16">
        <f t="shared" si="2"/>
        <v>0</v>
      </c>
      <c r="S5" s="23"/>
      <c r="T5" s="23"/>
      <c r="U5" s="23"/>
    </row>
    <row r="6">
      <c r="A6" s="24">
        <v>1.0</v>
      </c>
      <c r="B6" s="27" t="s">
        <v>105</v>
      </c>
      <c r="C6" s="24" t="s">
        <v>111</v>
      </c>
      <c r="D6" s="24">
        <v>5.0</v>
      </c>
      <c r="E6" s="25" t="s">
        <v>95</v>
      </c>
      <c r="F6" s="25" t="s">
        <v>95</v>
      </c>
      <c r="G6" s="25" t="s">
        <v>95</v>
      </c>
      <c r="H6" s="25" t="s">
        <v>95</v>
      </c>
      <c r="I6" s="25" t="s">
        <v>100</v>
      </c>
      <c r="J6" s="25" t="s">
        <v>95</v>
      </c>
      <c r="K6" s="25" t="s">
        <v>100</v>
      </c>
      <c r="L6" s="25" t="s">
        <v>100</v>
      </c>
      <c r="M6" s="26" t="s">
        <v>103</v>
      </c>
      <c r="N6" s="25" t="s">
        <v>100</v>
      </c>
      <c r="O6" s="26" t="s">
        <v>119</v>
      </c>
      <c r="P6" s="25" t="s">
        <v>100</v>
      </c>
      <c r="Q6" s="25" t="s">
        <v>100</v>
      </c>
      <c r="R6" s="29"/>
      <c r="S6" s="24" t="s">
        <v>114</v>
      </c>
      <c r="T6" s="30">
        <f t="shared" ref="T6:T64" si="3">COUNTIF(E6:R6,"P")/(COUNTIF(E6:R6,"P")+COUNTIF(E6:R6,"A")) * 100</f>
        <v>45.45454545</v>
      </c>
      <c r="U6" s="24" t="s">
        <v>117</v>
      </c>
    </row>
    <row r="7">
      <c r="A7" s="24">
        <v>2.0</v>
      </c>
      <c r="B7" s="27" t="s">
        <v>130</v>
      </c>
      <c r="C7" s="24" t="s">
        <v>131</v>
      </c>
      <c r="D7" s="24">
        <v>4.0</v>
      </c>
      <c r="E7" s="25" t="s">
        <v>95</v>
      </c>
      <c r="F7" s="25" t="s">
        <v>95</v>
      </c>
      <c r="G7" s="25" t="s">
        <v>95</v>
      </c>
      <c r="H7" s="25" t="s">
        <v>95</v>
      </c>
      <c r="I7" s="25" t="s">
        <v>95</v>
      </c>
      <c r="J7" s="25" t="s">
        <v>95</v>
      </c>
      <c r="K7" s="25" t="s">
        <v>95</v>
      </c>
      <c r="L7" s="25" t="s">
        <v>100</v>
      </c>
      <c r="M7" s="33"/>
      <c r="N7" s="25" t="s">
        <v>95</v>
      </c>
      <c r="O7" s="33"/>
      <c r="P7" s="25" t="s">
        <v>95</v>
      </c>
      <c r="Q7" s="25" t="s">
        <v>95</v>
      </c>
      <c r="R7" s="29"/>
      <c r="S7" s="24" t="s">
        <v>114</v>
      </c>
      <c r="T7" s="30">
        <f t="shared" si="3"/>
        <v>90.90909091</v>
      </c>
      <c r="U7" s="24" t="s">
        <v>117</v>
      </c>
    </row>
    <row r="8">
      <c r="A8" s="24">
        <v>3.0</v>
      </c>
      <c r="B8" s="24" t="s">
        <v>143</v>
      </c>
      <c r="C8" s="24" t="s">
        <v>145</v>
      </c>
      <c r="D8" s="24">
        <v>4.0</v>
      </c>
      <c r="E8" s="25" t="s">
        <v>95</v>
      </c>
      <c r="F8" s="25" t="s">
        <v>100</v>
      </c>
      <c r="G8" s="25" t="s">
        <v>95</v>
      </c>
      <c r="H8" s="25" t="s">
        <v>95</v>
      </c>
      <c r="I8" s="25" t="s">
        <v>95</v>
      </c>
      <c r="J8" s="25" t="s">
        <v>95</v>
      </c>
      <c r="K8" s="25" t="s">
        <v>95</v>
      </c>
      <c r="L8" s="25" t="s">
        <v>100</v>
      </c>
      <c r="M8" s="33"/>
      <c r="N8" s="25" t="s">
        <v>95</v>
      </c>
      <c r="O8" s="33"/>
      <c r="P8" s="25" t="s">
        <v>95</v>
      </c>
      <c r="Q8" s="25" t="s">
        <v>95</v>
      </c>
      <c r="R8" s="29"/>
      <c r="S8" s="24" t="s">
        <v>114</v>
      </c>
      <c r="T8" s="30">
        <f t="shared" si="3"/>
        <v>81.81818182</v>
      </c>
      <c r="U8" s="24" t="s">
        <v>117</v>
      </c>
    </row>
    <row r="9">
      <c r="A9" s="24">
        <v>4.0</v>
      </c>
      <c r="B9" s="27" t="s">
        <v>157</v>
      </c>
      <c r="C9" s="24" t="s">
        <v>158</v>
      </c>
      <c r="D9" s="24">
        <v>5.0</v>
      </c>
      <c r="E9" s="25" t="s">
        <v>95</v>
      </c>
      <c r="F9" s="25" t="s">
        <v>95</v>
      </c>
      <c r="G9" s="25" t="s">
        <v>95</v>
      </c>
      <c r="H9" s="25" t="s">
        <v>95</v>
      </c>
      <c r="I9" s="25" t="s">
        <v>95</v>
      </c>
      <c r="J9" s="25" t="s">
        <v>95</v>
      </c>
      <c r="K9" s="25" t="s">
        <v>95</v>
      </c>
      <c r="L9" s="25" t="s">
        <v>95</v>
      </c>
      <c r="M9" s="33"/>
      <c r="N9" s="25" t="s">
        <v>95</v>
      </c>
      <c r="O9" s="33"/>
      <c r="P9" s="25" t="s">
        <v>95</v>
      </c>
      <c r="Q9" s="25" t="s">
        <v>95</v>
      </c>
      <c r="R9" s="29"/>
      <c r="S9" s="24" t="s">
        <v>114</v>
      </c>
      <c r="T9" s="30">
        <f t="shared" si="3"/>
        <v>100</v>
      </c>
      <c r="U9" s="24" t="s">
        <v>117</v>
      </c>
    </row>
    <row r="10">
      <c r="A10" s="24">
        <v>5.0</v>
      </c>
      <c r="B10" s="27" t="s">
        <v>170</v>
      </c>
      <c r="C10" s="24" t="s">
        <v>171</v>
      </c>
      <c r="D10" s="24">
        <v>6.0</v>
      </c>
      <c r="E10" s="25" t="s">
        <v>95</v>
      </c>
      <c r="F10" s="25" t="s">
        <v>95</v>
      </c>
      <c r="G10" s="25" t="s">
        <v>95</v>
      </c>
      <c r="H10" s="25" t="s">
        <v>95</v>
      </c>
      <c r="I10" s="25" t="s">
        <v>100</v>
      </c>
      <c r="J10" s="25" t="s">
        <v>95</v>
      </c>
      <c r="K10" s="25" t="s">
        <v>95</v>
      </c>
      <c r="L10" s="25" t="s">
        <v>95</v>
      </c>
      <c r="M10" s="33"/>
      <c r="N10" s="25" t="s">
        <v>95</v>
      </c>
      <c r="O10" s="33"/>
      <c r="P10" s="25" t="s">
        <v>95</v>
      </c>
      <c r="Q10" s="25" t="s">
        <v>95</v>
      </c>
      <c r="R10" s="29"/>
      <c r="S10" s="24" t="s">
        <v>114</v>
      </c>
      <c r="T10" s="30">
        <f t="shared" si="3"/>
        <v>90.90909091</v>
      </c>
      <c r="U10" s="24" t="s">
        <v>117</v>
      </c>
    </row>
    <row r="11">
      <c r="A11" s="24">
        <v>6.0</v>
      </c>
      <c r="B11" s="27" t="s">
        <v>183</v>
      </c>
      <c r="C11" s="24" t="s">
        <v>185</v>
      </c>
      <c r="D11" s="24">
        <v>4.0</v>
      </c>
      <c r="E11" s="25" t="s">
        <v>95</v>
      </c>
      <c r="F11" s="25" t="s">
        <v>95</v>
      </c>
      <c r="G11" s="25" t="s">
        <v>95</v>
      </c>
      <c r="H11" s="25" t="s">
        <v>100</v>
      </c>
      <c r="I11" s="25" t="s">
        <v>100</v>
      </c>
      <c r="J11" s="25" t="s">
        <v>100</v>
      </c>
      <c r="K11" s="25" t="s">
        <v>95</v>
      </c>
      <c r="L11" s="25" t="s">
        <v>95</v>
      </c>
      <c r="M11" s="33"/>
      <c r="N11" s="25" t="s">
        <v>95</v>
      </c>
      <c r="O11" s="33"/>
      <c r="P11" s="25" t="s">
        <v>100</v>
      </c>
      <c r="Q11" s="25" t="s">
        <v>100</v>
      </c>
      <c r="R11" s="29"/>
      <c r="S11" s="24" t="s">
        <v>114</v>
      </c>
      <c r="T11" s="30">
        <f t="shared" si="3"/>
        <v>54.54545455</v>
      </c>
      <c r="U11" s="24" t="s">
        <v>117</v>
      </c>
    </row>
    <row r="12">
      <c r="A12" s="24">
        <v>7.0</v>
      </c>
      <c r="B12" s="27" t="s">
        <v>147</v>
      </c>
      <c r="C12" s="24" t="s">
        <v>175</v>
      </c>
      <c r="D12" s="24">
        <v>5.0</v>
      </c>
      <c r="E12" s="25" t="s">
        <v>95</v>
      </c>
      <c r="F12" s="25" t="s">
        <v>100</v>
      </c>
      <c r="G12" s="25" t="s">
        <v>95</v>
      </c>
      <c r="H12" s="25" t="s">
        <v>95</v>
      </c>
      <c r="I12" s="25" t="s">
        <v>95</v>
      </c>
      <c r="J12" s="25" t="s">
        <v>95</v>
      </c>
      <c r="K12" s="25" t="s">
        <v>95</v>
      </c>
      <c r="L12" s="25" t="s">
        <v>95</v>
      </c>
      <c r="M12" s="33"/>
      <c r="N12" s="25" t="s">
        <v>95</v>
      </c>
      <c r="O12" s="33"/>
      <c r="P12" s="25" t="s">
        <v>95</v>
      </c>
      <c r="Q12" s="25" t="s">
        <v>100</v>
      </c>
      <c r="R12" s="29"/>
      <c r="S12" s="24" t="s">
        <v>114</v>
      </c>
      <c r="T12" s="30">
        <f t="shared" si="3"/>
        <v>81.81818182</v>
      </c>
      <c r="U12" s="24" t="s">
        <v>117</v>
      </c>
    </row>
    <row r="13">
      <c r="A13" s="24">
        <v>8.0</v>
      </c>
      <c r="B13" s="27" t="s">
        <v>205</v>
      </c>
      <c r="C13" s="24" t="s">
        <v>206</v>
      </c>
      <c r="D13" s="24">
        <v>6.0</v>
      </c>
      <c r="E13" s="25" t="s">
        <v>95</v>
      </c>
      <c r="F13" s="25" t="s">
        <v>100</v>
      </c>
      <c r="G13" s="25" t="s">
        <v>100</v>
      </c>
      <c r="H13" s="25" t="s">
        <v>100</v>
      </c>
      <c r="I13" s="25" t="s">
        <v>100</v>
      </c>
      <c r="J13" s="25" t="s">
        <v>100</v>
      </c>
      <c r="K13" s="25" t="s">
        <v>100</v>
      </c>
      <c r="L13" s="25" t="s">
        <v>100</v>
      </c>
      <c r="M13" s="33"/>
      <c r="N13" s="25" t="s">
        <v>100</v>
      </c>
      <c r="O13" s="33"/>
      <c r="P13" s="25" t="s">
        <v>100</v>
      </c>
      <c r="Q13" s="25" t="s">
        <v>100</v>
      </c>
      <c r="R13" s="29"/>
      <c r="S13" s="24" t="s">
        <v>114</v>
      </c>
      <c r="T13" s="30">
        <f t="shared" si="3"/>
        <v>9.090909091</v>
      </c>
      <c r="U13" s="24" t="s">
        <v>117</v>
      </c>
    </row>
    <row r="14">
      <c r="A14" s="24">
        <v>9.0</v>
      </c>
      <c r="B14" s="27" t="s">
        <v>216</v>
      </c>
      <c r="C14" s="24" t="s">
        <v>217</v>
      </c>
      <c r="D14" s="24">
        <v>4.0</v>
      </c>
      <c r="E14" s="25" t="s">
        <v>95</v>
      </c>
      <c r="F14" s="25" t="s">
        <v>100</v>
      </c>
      <c r="G14" s="25" t="s">
        <v>100</v>
      </c>
      <c r="H14" s="25" t="s">
        <v>100</v>
      </c>
      <c r="I14" s="25" t="s">
        <v>95</v>
      </c>
      <c r="J14" s="25" t="s">
        <v>95</v>
      </c>
      <c r="K14" s="25" t="s">
        <v>100</v>
      </c>
      <c r="L14" s="25" t="s">
        <v>95</v>
      </c>
      <c r="M14" s="33"/>
      <c r="N14" s="25" t="s">
        <v>100</v>
      </c>
      <c r="O14" s="33"/>
      <c r="P14" s="25" t="s">
        <v>100</v>
      </c>
      <c r="Q14" s="25" t="s">
        <v>100</v>
      </c>
      <c r="R14" s="29"/>
      <c r="S14" s="24" t="s">
        <v>114</v>
      </c>
      <c r="T14" s="30">
        <f t="shared" si="3"/>
        <v>36.36363636</v>
      </c>
      <c r="U14" s="24" t="s">
        <v>117</v>
      </c>
    </row>
    <row r="15">
      <c r="A15" s="24">
        <v>10.0</v>
      </c>
      <c r="B15" s="27" t="s">
        <v>226</v>
      </c>
      <c r="C15" s="24" t="s">
        <v>227</v>
      </c>
      <c r="D15" s="24">
        <v>6.0</v>
      </c>
      <c r="E15" s="25" t="s">
        <v>95</v>
      </c>
      <c r="F15" s="25" t="s">
        <v>95</v>
      </c>
      <c r="G15" s="25" t="s">
        <v>95</v>
      </c>
      <c r="H15" s="25" t="s">
        <v>95</v>
      </c>
      <c r="I15" s="25" t="s">
        <v>100</v>
      </c>
      <c r="J15" s="25" t="s">
        <v>95</v>
      </c>
      <c r="K15" s="25" t="s">
        <v>95</v>
      </c>
      <c r="L15" s="25" t="s">
        <v>95</v>
      </c>
      <c r="M15" s="33"/>
      <c r="N15" s="25" t="s">
        <v>95</v>
      </c>
      <c r="O15" s="33"/>
      <c r="P15" s="25" t="s">
        <v>100</v>
      </c>
      <c r="Q15" s="25" t="s">
        <v>100</v>
      </c>
      <c r="R15" s="29"/>
      <c r="S15" s="24" t="s">
        <v>114</v>
      </c>
      <c r="T15" s="30">
        <f t="shared" si="3"/>
        <v>72.72727273</v>
      </c>
      <c r="U15" s="24" t="s">
        <v>117</v>
      </c>
    </row>
    <row r="16">
      <c r="A16" s="24">
        <v>11.0</v>
      </c>
      <c r="B16" s="34" t="s">
        <v>227</v>
      </c>
      <c r="C16" s="24" t="s">
        <v>238</v>
      </c>
      <c r="D16" s="24">
        <v>6.0</v>
      </c>
      <c r="E16" s="25" t="s">
        <v>95</v>
      </c>
      <c r="F16" s="25" t="s">
        <v>100</v>
      </c>
      <c r="G16" s="25" t="s">
        <v>100</v>
      </c>
      <c r="H16" s="25" t="s">
        <v>100</v>
      </c>
      <c r="I16" s="25" t="s">
        <v>100</v>
      </c>
      <c r="J16" s="25" t="s">
        <v>100</v>
      </c>
      <c r="K16" s="25" t="s">
        <v>100</v>
      </c>
      <c r="L16" s="25" t="s">
        <v>100</v>
      </c>
      <c r="M16" s="33"/>
      <c r="N16" s="25" t="s">
        <v>100</v>
      </c>
      <c r="O16" s="33"/>
      <c r="P16" s="25" t="s">
        <v>100</v>
      </c>
      <c r="Q16" s="25" t="s">
        <v>100</v>
      </c>
      <c r="R16" s="29"/>
      <c r="S16" s="24" t="s">
        <v>114</v>
      </c>
      <c r="T16" s="30">
        <f t="shared" si="3"/>
        <v>9.090909091</v>
      </c>
      <c r="U16" s="24" t="s">
        <v>117</v>
      </c>
    </row>
    <row r="17">
      <c r="A17" s="24">
        <v>12.0</v>
      </c>
      <c r="B17" s="34" t="s">
        <v>248</v>
      </c>
      <c r="C17" s="24" t="s">
        <v>250</v>
      </c>
      <c r="D17" s="24">
        <v>4.0</v>
      </c>
      <c r="E17" s="25" t="s">
        <v>95</v>
      </c>
      <c r="F17" s="25" t="s">
        <v>100</v>
      </c>
      <c r="G17" s="25" t="s">
        <v>100</v>
      </c>
      <c r="H17" s="25" t="s">
        <v>95</v>
      </c>
      <c r="I17" s="25" t="s">
        <v>100</v>
      </c>
      <c r="J17" s="25" t="s">
        <v>100</v>
      </c>
      <c r="K17" s="25" t="s">
        <v>100</v>
      </c>
      <c r="L17" s="25" t="s">
        <v>100</v>
      </c>
      <c r="M17" s="33"/>
      <c r="N17" s="25" t="s">
        <v>100</v>
      </c>
      <c r="O17" s="33"/>
      <c r="P17" s="25" t="s">
        <v>100</v>
      </c>
      <c r="Q17" s="25" t="s">
        <v>100</v>
      </c>
      <c r="R17" s="29"/>
      <c r="S17" s="24" t="s">
        <v>114</v>
      </c>
      <c r="T17" s="30">
        <f t="shared" si="3"/>
        <v>18.18181818</v>
      </c>
      <c r="U17" s="24" t="s">
        <v>117</v>
      </c>
    </row>
    <row r="18">
      <c r="A18" s="24">
        <v>13.0</v>
      </c>
      <c r="B18" s="27" t="s">
        <v>256</v>
      </c>
      <c r="C18" s="24" t="s">
        <v>257</v>
      </c>
      <c r="D18" s="24">
        <v>6.0</v>
      </c>
      <c r="E18" s="25" t="s">
        <v>95</v>
      </c>
      <c r="F18" s="25" t="s">
        <v>95</v>
      </c>
      <c r="G18" s="25" t="s">
        <v>95</v>
      </c>
      <c r="H18" s="25" t="s">
        <v>95</v>
      </c>
      <c r="I18" s="25" t="s">
        <v>95</v>
      </c>
      <c r="J18" s="25" t="s">
        <v>95</v>
      </c>
      <c r="K18" s="25" t="s">
        <v>95</v>
      </c>
      <c r="L18" s="25" t="s">
        <v>95</v>
      </c>
      <c r="M18" s="33"/>
      <c r="N18" s="25" t="s">
        <v>95</v>
      </c>
      <c r="O18" s="33"/>
      <c r="P18" s="25" t="s">
        <v>95</v>
      </c>
      <c r="Q18" s="25" t="s">
        <v>95</v>
      </c>
      <c r="R18" s="29"/>
      <c r="S18" s="24" t="s">
        <v>114</v>
      </c>
      <c r="T18" s="30">
        <f t="shared" si="3"/>
        <v>100</v>
      </c>
      <c r="U18" s="24" t="s">
        <v>117</v>
      </c>
    </row>
    <row r="19">
      <c r="A19" s="24">
        <v>14.0</v>
      </c>
      <c r="B19" s="27" t="s">
        <v>263</v>
      </c>
      <c r="C19" s="24" t="s">
        <v>257</v>
      </c>
      <c r="D19" s="24">
        <v>4.0</v>
      </c>
      <c r="E19" s="25" t="s">
        <v>95</v>
      </c>
      <c r="F19" s="25" t="s">
        <v>95</v>
      </c>
      <c r="G19" s="25" t="s">
        <v>95</v>
      </c>
      <c r="H19" s="25" t="s">
        <v>95</v>
      </c>
      <c r="I19" s="25" t="s">
        <v>95</v>
      </c>
      <c r="J19" s="25" t="s">
        <v>95</v>
      </c>
      <c r="K19" s="25" t="s">
        <v>95</v>
      </c>
      <c r="L19" s="25" t="s">
        <v>95</v>
      </c>
      <c r="M19" s="33"/>
      <c r="N19" s="25" t="s">
        <v>95</v>
      </c>
      <c r="O19" s="33"/>
      <c r="P19" s="25" t="s">
        <v>95</v>
      </c>
      <c r="Q19" s="25" t="s">
        <v>95</v>
      </c>
      <c r="R19" s="29"/>
      <c r="S19" s="24" t="s">
        <v>114</v>
      </c>
      <c r="T19" s="30">
        <f t="shared" si="3"/>
        <v>100</v>
      </c>
      <c r="U19" s="24" t="s">
        <v>117</v>
      </c>
    </row>
    <row r="20">
      <c r="A20" s="24">
        <v>15.0</v>
      </c>
      <c r="B20" s="24" t="s">
        <v>272</v>
      </c>
      <c r="C20" s="24" t="s">
        <v>158</v>
      </c>
      <c r="D20" s="24">
        <v>4.0</v>
      </c>
      <c r="E20" s="25" t="s">
        <v>95</v>
      </c>
      <c r="F20" s="25" t="s">
        <v>95</v>
      </c>
      <c r="G20" s="25" t="s">
        <v>95</v>
      </c>
      <c r="H20" s="25" t="s">
        <v>95</v>
      </c>
      <c r="I20" s="25" t="s">
        <v>95</v>
      </c>
      <c r="J20" s="25" t="s">
        <v>95</v>
      </c>
      <c r="K20" s="25" t="s">
        <v>95</v>
      </c>
      <c r="L20" s="25" t="s">
        <v>95</v>
      </c>
      <c r="M20" s="33"/>
      <c r="N20" s="25" t="s">
        <v>95</v>
      </c>
      <c r="O20" s="33"/>
      <c r="P20" s="25" t="s">
        <v>95</v>
      </c>
      <c r="Q20" s="25" t="s">
        <v>95</v>
      </c>
      <c r="R20" s="29"/>
      <c r="S20" s="24" t="s">
        <v>114</v>
      </c>
      <c r="T20" s="30">
        <f t="shared" si="3"/>
        <v>100</v>
      </c>
      <c r="U20" s="24" t="s">
        <v>117</v>
      </c>
    </row>
    <row r="21">
      <c r="A21" s="24">
        <v>16.0</v>
      </c>
      <c r="B21" s="34" t="s">
        <v>278</v>
      </c>
      <c r="C21" s="24" t="s">
        <v>280</v>
      </c>
      <c r="D21" s="24">
        <v>5.0</v>
      </c>
      <c r="E21" s="25" t="s">
        <v>95</v>
      </c>
      <c r="F21" s="25" t="s">
        <v>95</v>
      </c>
      <c r="G21" s="25" t="s">
        <v>95</v>
      </c>
      <c r="H21" s="25" t="s">
        <v>95</v>
      </c>
      <c r="I21" s="25" t="s">
        <v>95</v>
      </c>
      <c r="J21" s="25" t="s">
        <v>95</v>
      </c>
      <c r="K21" s="25" t="s">
        <v>100</v>
      </c>
      <c r="L21" s="25" t="s">
        <v>100</v>
      </c>
      <c r="M21" s="33"/>
      <c r="N21" s="25" t="s">
        <v>100</v>
      </c>
      <c r="O21" s="33"/>
      <c r="P21" s="25" t="s">
        <v>100</v>
      </c>
      <c r="Q21" s="25" t="s">
        <v>100</v>
      </c>
      <c r="R21" s="29"/>
      <c r="S21" s="24" t="s">
        <v>114</v>
      </c>
      <c r="T21" s="30">
        <f t="shared" si="3"/>
        <v>54.54545455</v>
      </c>
      <c r="U21" s="24" t="s">
        <v>117</v>
      </c>
    </row>
    <row r="22">
      <c r="A22" s="24">
        <v>17.0</v>
      </c>
      <c r="B22" s="27" t="s">
        <v>289</v>
      </c>
      <c r="C22" s="24" t="s">
        <v>291</v>
      </c>
      <c r="D22" s="24">
        <v>6.0</v>
      </c>
      <c r="E22" s="25" t="s">
        <v>95</v>
      </c>
      <c r="F22" s="25" t="s">
        <v>95</v>
      </c>
      <c r="G22" s="25" t="s">
        <v>100</v>
      </c>
      <c r="H22" s="25" t="s">
        <v>100</v>
      </c>
      <c r="I22" s="25" t="s">
        <v>100</v>
      </c>
      <c r="J22" s="25" t="s">
        <v>100</v>
      </c>
      <c r="K22" s="25" t="s">
        <v>100</v>
      </c>
      <c r="L22" s="25" t="s">
        <v>100</v>
      </c>
      <c r="M22" s="33"/>
      <c r="N22" s="25" t="s">
        <v>100</v>
      </c>
      <c r="O22" s="33"/>
      <c r="P22" s="25" t="s">
        <v>100</v>
      </c>
      <c r="Q22" s="25" t="s">
        <v>100</v>
      </c>
      <c r="R22" s="29"/>
      <c r="S22" s="24" t="s">
        <v>114</v>
      </c>
      <c r="T22" s="30">
        <f t="shared" si="3"/>
        <v>18.18181818</v>
      </c>
      <c r="U22" s="24" t="s">
        <v>117</v>
      </c>
    </row>
    <row r="23">
      <c r="A23" s="24">
        <v>18.0</v>
      </c>
      <c r="B23" s="27" t="s">
        <v>298</v>
      </c>
      <c r="C23" s="24" t="s">
        <v>300</v>
      </c>
      <c r="D23" s="24">
        <v>4.0</v>
      </c>
      <c r="E23" s="25" t="s">
        <v>95</v>
      </c>
      <c r="F23" s="25" t="s">
        <v>95</v>
      </c>
      <c r="G23" s="25" t="s">
        <v>95</v>
      </c>
      <c r="H23" s="25" t="s">
        <v>95</v>
      </c>
      <c r="I23" s="25" t="s">
        <v>95</v>
      </c>
      <c r="J23" s="25" t="s">
        <v>95</v>
      </c>
      <c r="K23" s="25" t="s">
        <v>95</v>
      </c>
      <c r="L23" s="25" t="s">
        <v>95</v>
      </c>
      <c r="M23" s="33"/>
      <c r="N23" s="25" t="s">
        <v>95</v>
      </c>
      <c r="O23" s="33"/>
      <c r="P23" s="25" t="s">
        <v>95</v>
      </c>
      <c r="Q23" s="25" t="s">
        <v>100</v>
      </c>
      <c r="R23" s="29"/>
      <c r="S23" s="24" t="s">
        <v>114</v>
      </c>
      <c r="T23" s="30">
        <f t="shared" si="3"/>
        <v>90.90909091</v>
      </c>
      <c r="U23" s="24" t="s">
        <v>117</v>
      </c>
    </row>
    <row r="24">
      <c r="A24" s="24">
        <v>19.0</v>
      </c>
      <c r="B24" s="27" t="s">
        <v>307</v>
      </c>
      <c r="C24" s="24" t="s">
        <v>309</v>
      </c>
      <c r="D24" s="24">
        <v>6.0</v>
      </c>
      <c r="E24" s="25" t="s">
        <v>95</v>
      </c>
      <c r="F24" s="25" t="s">
        <v>100</v>
      </c>
      <c r="G24" s="25" t="s">
        <v>95</v>
      </c>
      <c r="H24" s="25" t="s">
        <v>100</v>
      </c>
      <c r="I24" s="25" t="s">
        <v>95</v>
      </c>
      <c r="J24" s="25" t="s">
        <v>95</v>
      </c>
      <c r="K24" s="25" t="s">
        <v>100</v>
      </c>
      <c r="L24" s="25" t="s">
        <v>95</v>
      </c>
      <c r="M24" s="33"/>
      <c r="N24" s="25" t="s">
        <v>100</v>
      </c>
      <c r="O24" s="33"/>
      <c r="P24" s="25" t="s">
        <v>100</v>
      </c>
      <c r="Q24" s="25" t="s">
        <v>100</v>
      </c>
      <c r="R24" s="29"/>
      <c r="S24" s="24" t="s">
        <v>114</v>
      </c>
      <c r="T24" s="30">
        <f t="shared" si="3"/>
        <v>45.45454545</v>
      </c>
      <c r="U24" s="24" t="s">
        <v>117</v>
      </c>
    </row>
    <row r="25">
      <c r="A25" s="24">
        <v>20.0</v>
      </c>
      <c r="B25" s="27" t="s">
        <v>316</v>
      </c>
      <c r="C25" s="24" t="s">
        <v>318</v>
      </c>
      <c r="D25" s="24">
        <v>5.0</v>
      </c>
      <c r="E25" s="25" t="s">
        <v>95</v>
      </c>
      <c r="F25" s="25" t="s">
        <v>95</v>
      </c>
      <c r="G25" s="25" t="s">
        <v>100</v>
      </c>
      <c r="H25" s="25" t="s">
        <v>100</v>
      </c>
      <c r="I25" s="25" t="s">
        <v>100</v>
      </c>
      <c r="J25" s="25" t="s">
        <v>100</v>
      </c>
      <c r="K25" s="25" t="s">
        <v>100</v>
      </c>
      <c r="L25" s="25" t="s">
        <v>100</v>
      </c>
      <c r="M25" s="33"/>
      <c r="N25" s="25" t="s">
        <v>100</v>
      </c>
      <c r="O25" s="33"/>
      <c r="P25" s="25" t="s">
        <v>100</v>
      </c>
      <c r="Q25" s="25" t="s">
        <v>100</v>
      </c>
      <c r="R25" s="29"/>
      <c r="S25" s="24" t="s">
        <v>114</v>
      </c>
      <c r="T25" s="30">
        <f t="shared" si="3"/>
        <v>18.18181818</v>
      </c>
      <c r="U25" s="24" t="s">
        <v>117</v>
      </c>
    </row>
    <row r="26">
      <c r="A26" s="24">
        <v>21.0</v>
      </c>
      <c r="B26" s="27" t="s">
        <v>281</v>
      </c>
      <c r="C26" s="24" t="s">
        <v>325</v>
      </c>
      <c r="D26" s="24">
        <v>6.0</v>
      </c>
      <c r="E26" s="25" t="s">
        <v>95</v>
      </c>
      <c r="F26" s="25" t="s">
        <v>100</v>
      </c>
      <c r="G26" s="25" t="s">
        <v>100</v>
      </c>
      <c r="H26" s="25" t="s">
        <v>95</v>
      </c>
      <c r="I26" s="25" t="s">
        <v>100</v>
      </c>
      <c r="J26" s="25" t="s">
        <v>100</v>
      </c>
      <c r="K26" s="25" t="s">
        <v>95</v>
      </c>
      <c r="L26" s="25" t="s">
        <v>100</v>
      </c>
      <c r="M26" s="33"/>
      <c r="N26" s="25" t="s">
        <v>100</v>
      </c>
      <c r="O26" s="33"/>
      <c r="P26" s="25" t="s">
        <v>100</v>
      </c>
      <c r="Q26" s="25" t="s">
        <v>100</v>
      </c>
      <c r="R26" s="29"/>
      <c r="S26" s="24" t="s">
        <v>114</v>
      </c>
      <c r="T26" s="30">
        <f t="shared" si="3"/>
        <v>27.27272727</v>
      </c>
      <c r="U26" s="24" t="s">
        <v>117</v>
      </c>
    </row>
    <row r="27">
      <c r="A27" s="24">
        <v>22.0</v>
      </c>
      <c r="B27" s="27" t="s">
        <v>331</v>
      </c>
      <c r="C27" s="24" t="s">
        <v>333</v>
      </c>
      <c r="D27" s="24">
        <v>4.0</v>
      </c>
      <c r="E27" s="25" t="s">
        <v>95</v>
      </c>
      <c r="F27" s="25" t="s">
        <v>95</v>
      </c>
      <c r="G27" s="25" t="s">
        <v>95</v>
      </c>
      <c r="H27" s="25" t="s">
        <v>95</v>
      </c>
      <c r="I27" s="25" t="s">
        <v>95</v>
      </c>
      <c r="J27" s="25" t="s">
        <v>95</v>
      </c>
      <c r="K27" s="25" t="s">
        <v>95</v>
      </c>
      <c r="L27" s="25" t="s">
        <v>95</v>
      </c>
      <c r="M27" s="33"/>
      <c r="N27" s="25" t="s">
        <v>95</v>
      </c>
      <c r="O27" s="33"/>
      <c r="P27" s="25" t="s">
        <v>95</v>
      </c>
      <c r="Q27" s="25" t="s">
        <v>95</v>
      </c>
      <c r="R27" s="25">
        <v>3.262143986E9</v>
      </c>
      <c r="S27" s="24" t="s">
        <v>114</v>
      </c>
      <c r="T27" s="30">
        <f t="shared" si="3"/>
        <v>100</v>
      </c>
      <c r="U27" s="24" t="s">
        <v>117</v>
      </c>
    </row>
    <row r="28">
      <c r="A28" s="24">
        <v>23.0</v>
      </c>
      <c r="B28" s="27" t="s">
        <v>340</v>
      </c>
      <c r="C28" s="24" t="s">
        <v>342</v>
      </c>
      <c r="D28" s="24">
        <v>5.0</v>
      </c>
      <c r="E28" s="25" t="s">
        <v>95</v>
      </c>
      <c r="F28" s="25" t="s">
        <v>95</v>
      </c>
      <c r="G28" s="25" t="s">
        <v>95</v>
      </c>
      <c r="H28" s="25" t="s">
        <v>100</v>
      </c>
      <c r="I28" s="25" t="s">
        <v>95</v>
      </c>
      <c r="J28" s="25" t="s">
        <v>100</v>
      </c>
      <c r="K28" s="25" t="s">
        <v>95</v>
      </c>
      <c r="L28" s="25" t="s">
        <v>95</v>
      </c>
      <c r="M28" s="33"/>
      <c r="N28" s="25" t="s">
        <v>95</v>
      </c>
      <c r="O28" s="33"/>
      <c r="P28" s="25" t="s">
        <v>100</v>
      </c>
      <c r="Q28" s="25" t="s">
        <v>100</v>
      </c>
      <c r="R28" s="29"/>
      <c r="S28" s="24" t="s">
        <v>114</v>
      </c>
      <c r="T28" s="30">
        <f t="shared" si="3"/>
        <v>63.63636364</v>
      </c>
      <c r="U28" s="24" t="s">
        <v>117</v>
      </c>
    </row>
    <row r="29">
      <c r="A29" s="24">
        <v>24.0</v>
      </c>
      <c r="B29" s="34" t="s">
        <v>349</v>
      </c>
      <c r="C29" s="24" t="s">
        <v>351</v>
      </c>
      <c r="D29" s="24">
        <v>5.0</v>
      </c>
      <c r="E29" s="25" t="s">
        <v>95</v>
      </c>
      <c r="F29" s="25" t="s">
        <v>100</v>
      </c>
      <c r="G29" s="25" t="s">
        <v>100</v>
      </c>
      <c r="H29" s="25" t="s">
        <v>100</v>
      </c>
      <c r="I29" s="25" t="s">
        <v>100</v>
      </c>
      <c r="J29" s="25" t="s">
        <v>100</v>
      </c>
      <c r="K29" s="25" t="s">
        <v>100</v>
      </c>
      <c r="L29" s="25" t="s">
        <v>100</v>
      </c>
      <c r="M29" s="33"/>
      <c r="N29" s="25" t="s">
        <v>100</v>
      </c>
      <c r="O29" s="33"/>
      <c r="P29" s="25" t="s">
        <v>100</v>
      </c>
      <c r="Q29" s="25" t="s">
        <v>100</v>
      </c>
      <c r="R29" s="29"/>
      <c r="S29" s="24" t="s">
        <v>114</v>
      </c>
      <c r="T29" s="30">
        <f t="shared" si="3"/>
        <v>9.090909091</v>
      </c>
      <c r="U29" s="24" t="s">
        <v>117</v>
      </c>
    </row>
    <row r="30">
      <c r="A30" s="24">
        <v>25.0</v>
      </c>
      <c r="B30" s="27" t="s">
        <v>361</v>
      </c>
      <c r="C30" s="24" t="s">
        <v>362</v>
      </c>
      <c r="D30" s="24">
        <v>3.0</v>
      </c>
      <c r="E30" s="25" t="s">
        <v>95</v>
      </c>
      <c r="F30" s="25" t="s">
        <v>100</v>
      </c>
      <c r="G30" s="25" t="s">
        <v>100</v>
      </c>
      <c r="H30" s="25" t="s">
        <v>100</v>
      </c>
      <c r="I30" s="25" t="s">
        <v>100</v>
      </c>
      <c r="J30" s="25" t="s">
        <v>100</v>
      </c>
      <c r="K30" s="25" t="s">
        <v>100</v>
      </c>
      <c r="L30" s="25" t="s">
        <v>100</v>
      </c>
      <c r="M30" s="33"/>
      <c r="N30" s="25" t="s">
        <v>100</v>
      </c>
      <c r="O30" s="33"/>
      <c r="P30" s="25" t="s">
        <v>100</v>
      </c>
      <c r="Q30" s="25" t="s">
        <v>100</v>
      </c>
      <c r="R30" s="29"/>
      <c r="S30" s="24" t="s">
        <v>114</v>
      </c>
      <c r="T30" s="30">
        <f t="shared" si="3"/>
        <v>9.090909091</v>
      </c>
      <c r="U30" s="24" t="s">
        <v>117</v>
      </c>
    </row>
    <row r="31">
      <c r="A31" s="24">
        <v>26.0</v>
      </c>
      <c r="B31" s="27" t="s">
        <v>369</v>
      </c>
      <c r="C31" s="24" t="s">
        <v>370</v>
      </c>
      <c r="D31" s="24">
        <v>4.0</v>
      </c>
      <c r="E31" s="25" t="s">
        <v>95</v>
      </c>
      <c r="F31" s="25" t="s">
        <v>95</v>
      </c>
      <c r="G31" s="25" t="s">
        <v>95</v>
      </c>
      <c r="H31" s="25" t="s">
        <v>100</v>
      </c>
      <c r="I31" s="25" t="s">
        <v>95</v>
      </c>
      <c r="J31" s="25" t="s">
        <v>95</v>
      </c>
      <c r="K31" s="25" t="s">
        <v>95</v>
      </c>
      <c r="L31" s="25" t="s">
        <v>95</v>
      </c>
      <c r="M31" s="33"/>
      <c r="N31" s="25" t="s">
        <v>95</v>
      </c>
      <c r="O31" s="33"/>
      <c r="P31" s="25" t="s">
        <v>95</v>
      </c>
      <c r="Q31" s="25" t="s">
        <v>95</v>
      </c>
      <c r="R31" s="25">
        <v>3.421597063E9</v>
      </c>
      <c r="S31" s="24" t="s">
        <v>114</v>
      </c>
      <c r="T31" s="30">
        <f t="shared" si="3"/>
        <v>90.90909091</v>
      </c>
      <c r="U31" s="24" t="s">
        <v>117</v>
      </c>
    </row>
    <row r="32">
      <c r="A32" s="24">
        <v>27.0</v>
      </c>
      <c r="B32" s="27" t="s">
        <v>377</v>
      </c>
      <c r="C32" s="24" t="s">
        <v>378</v>
      </c>
      <c r="D32" s="24">
        <v>4.0</v>
      </c>
      <c r="E32" s="25" t="s">
        <v>95</v>
      </c>
      <c r="F32" s="25" t="s">
        <v>95</v>
      </c>
      <c r="G32" s="25" t="s">
        <v>95</v>
      </c>
      <c r="H32" s="25" t="s">
        <v>100</v>
      </c>
      <c r="I32" s="25" t="s">
        <v>95</v>
      </c>
      <c r="J32" s="25" t="s">
        <v>100</v>
      </c>
      <c r="K32" s="25" t="s">
        <v>95</v>
      </c>
      <c r="L32" s="25" t="s">
        <v>95</v>
      </c>
      <c r="M32" s="33"/>
      <c r="N32" s="25" t="s">
        <v>100</v>
      </c>
      <c r="O32" s="33"/>
      <c r="P32" s="25" t="s">
        <v>95</v>
      </c>
      <c r="Q32" s="25" t="s">
        <v>95</v>
      </c>
      <c r="R32" s="25">
        <v>3.222699852E9</v>
      </c>
      <c r="S32" s="24" t="s">
        <v>114</v>
      </c>
      <c r="T32" s="30">
        <f t="shared" si="3"/>
        <v>72.72727273</v>
      </c>
      <c r="U32" s="24" t="s">
        <v>117</v>
      </c>
    </row>
    <row r="33">
      <c r="A33" s="24">
        <v>28.0</v>
      </c>
      <c r="B33" s="27" t="s">
        <v>389</v>
      </c>
      <c r="C33" s="24" t="s">
        <v>390</v>
      </c>
      <c r="D33" s="24">
        <v>4.0</v>
      </c>
      <c r="E33" s="25" t="s">
        <v>95</v>
      </c>
      <c r="F33" s="25" t="s">
        <v>95</v>
      </c>
      <c r="G33" s="25" t="s">
        <v>95</v>
      </c>
      <c r="H33" s="25" t="s">
        <v>95</v>
      </c>
      <c r="I33" s="25" t="s">
        <v>95</v>
      </c>
      <c r="J33" s="25" t="s">
        <v>95</v>
      </c>
      <c r="K33" s="25" t="s">
        <v>100</v>
      </c>
      <c r="L33" s="25" t="s">
        <v>95</v>
      </c>
      <c r="M33" s="33"/>
      <c r="N33" s="25" t="s">
        <v>95</v>
      </c>
      <c r="O33" s="33"/>
      <c r="P33" s="25" t="s">
        <v>100</v>
      </c>
      <c r="Q33" s="25" t="s">
        <v>95</v>
      </c>
      <c r="R33" s="29"/>
      <c r="S33" s="24" t="s">
        <v>114</v>
      </c>
      <c r="T33" s="30">
        <f t="shared" si="3"/>
        <v>81.81818182</v>
      </c>
      <c r="U33" s="24" t="s">
        <v>117</v>
      </c>
    </row>
    <row r="34">
      <c r="A34" s="24">
        <v>29.0</v>
      </c>
      <c r="B34" s="24" t="s">
        <v>396</v>
      </c>
      <c r="C34" s="24" t="s">
        <v>397</v>
      </c>
      <c r="D34" s="24">
        <v>4.0</v>
      </c>
      <c r="E34" s="25" t="s">
        <v>95</v>
      </c>
      <c r="F34" s="25" t="s">
        <v>100</v>
      </c>
      <c r="G34" s="25" t="s">
        <v>95</v>
      </c>
      <c r="H34" s="25" t="s">
        <v>100</v>
      </c>
      <c r="I34" s="25" t="s">
        <v>95</v>
      </c>
      <c r="J34" s="25" t="s">
        <v>95</v>
      </c>
      <c r="K34" s="25" t="s">
        <v>95</v>
      </c>
      <c r="L34" s="25" t="s">
        <v>95</v>
      </c>
      <c r="M34" s="33"/>
      <c r="N34" s="25" t="s">
        <v>95</v>
      </c>
      <c r="O34" s="33"/>
      <c r="P34" s="25" t="s">
        <v>100</v>
      </c>
      <c r="Q34" s="25" t="s">
        <v>100</v>
      </c>
      <c r="R34" s="29"/>
      <c r="S34" s="24" t="s">
        <v>114</v>
      </c>
      <c r="T34" s="30">
        <f t="shared" si="3"/>
        <v>63.63636364</v>
      </c>
      <c r="U34" s="24" t="s">
        <v>117</v>
      </c>
    </row>
    <row r="35">
      <c r="A35" s="24">
        <v>30.0</v>
      </c>
      <c r="B35" s="24" t="s">
        <v>403</v>
      </c>
      <c r="C35" s="24" t="s">
        <v>405</v>
      </c>
      <c r="D35" s="24">
        <v>5.0</v>
      </c>
      <c r="E35" s="25" t="s">
        <v>95</v>
      </c>
      <c r="F35" s="25" t="s">
        <v>95</v>
      </c>
      <c r="G35" s="25" t="s">
        <v>95</v>
      </c>
      <c r="H35" s="25" t="s">
        <v>95</v>
      </c>
      <c r="I35" s="25" t="s">
        <v>95</v>
      </c>
      <c r="J35" s="25" t="s">
        <v>95</v>
      </c>
      <c r="K35" s="25" t="s">
        <v>95</v>
      </c>
      <c r="L35" s="25" t="s">
        <v>95</v>
      </c>
      <c r="M35" s="33"/>
      <c r="N35" s="25" t="s">
        <v>95</v>
      </c>
      <c r="O35" s="33"/>
      <c r="P35" s="25" t="s">
        <v>95</v>
      </c>
      <c r="Q35" s="25" t="s">
        <v>95</v>
      </c>
      <c r="R35" s="29"/>
      <c r="S35" s="24" t="s">
        <v>114</v>
      </c>
      <c r="T35" s="30">
        <f t="shared" si="3"/>
        <v>100</v>
      </c>
      <c r="U35" s="24" t="s">
        <v>117</v>
      </c>
    </row>
    <row r="36">
      <c r="A36" s="24">
        <v>31.0</v>
      </c>
      <c r="B36" s="27" t="s">
        <v>410</v>
      </c>
      <c r="C36" s="24" t="s">
        <v>412</v>
      </c>
      <c r="D36" s="24">
        <v>5.0</v>
      </c>
      <c r="E36" s="25" t="s">
        <v>95</v>
      </c>
      <c r="F36" s="25" t="s">
        <v>95</v>
      </c>
      <c r="G36" s="25" t="s">
        <v>95</v>
      </c>
      <c r="H36" s="25" t="s">
        <v>95</v>
      </c>
      <c r="I36" s="25" t="s">
        <v>95</v>
      </c>
      <c r="J36" s="25" t="s">
        <v>95</v>
      </c>
      <c r="K36" s="25" t="s">
        <v>95</v>
      </c>
      <c r="L36" s="25" t="s">
        <v>95</v>
      </c>
      <c r="M36" s="33"/>
      <c r="N36" s="25" t="s">
        <v>100</v>
      </c>
      <c r="O36" s="33"/>
      <c r="P36" s="25" t="s">
        <v>100</v>
      </c>
      <c r="Q36" s="25" t="s">
        <v>100</v>
      </c>
      <c r="R36" s="29"/>
      <c r="S36" s="24" t="s">
        <v>114</v>
      </c>
      <c r="T36" s="30">
        <f t="shared" si="3"/>
        <v>72.72727273</v>
      </c>
      <c r="U36" s="24" t="s">
        <v>117</v>
      </c>
    </row>
    <row r="37">
      <c r="A37" s="24">
        <v>32.0</v>
      </c>
      <c r="B37" s="27" t="s">
        <v>422</v>
      </c>
      <c r="C37" s="24" t="s">
        <v>412</v>
      </c>
      <c r="D37" s="24">
        <v>5.0</v>
      </c>
      <c r="E37" s="25" t="s">
        <v>95</v>
      </c>
      <c r="F37" s="25" t="s">
        <v>95</v>
      </c>
      <c r="G37" s="25" t="s">
        <v>95</v>
      </c>
      <c r="H37" s="25" t="s">
        <v>95</v>
      </c>
      <c r="I37" s="25" t="s">
        <v>95</v>
      </c>
      <c r="J37" s="25" t="s">
        <v>95</v>
      </c>
      <c r="K37" s="25" t="s">
        <v>95</v>
      </c>
      <c r="L37" s="25" t="s">
        <v>95</v>
      </c>
      <c r="M37" s="33"/>
      <c r="N37" s="25" t="s">
        <v>100</v>
      </c>
      <c r="O37" s="33"/>
      <c r="P37" s="25" t="s">
        <v>100</v>
      </c>
      <c r="Q37" s="25" t="s">
        <v>100</v>
      </c>
      <c r="R37" s="29"/>
      <c r="S37" s="24" t="s">
        <v>114</v>
      </c>
      <c r="T37" s="30">
        <f t="shared" si="3"/>
        <v>72.72727273</v>
      </c>
      <c r="U37" s="24" t="s">
        <v>117</v>
      </c>
    </row>
    <row r="38">
      <c r="A38" s="24">
        <v>33.0</v>
      </c>
      <c r="B38" s="34" t="s">
        <v>430</v>
      </c>
      <c r="C38" s="24" t="s">
        <v>432</v>
      </c>
      <c r="D38" s="24">
        <v>6.0</v>
      </c>
      <c r="E38" s="25" t="s">
        <v>95</v>
      </c>
      <c r="F38" s="25" t="s">
        <v>95</v>
      </c>
      <c r="G38" s="25" t="s">
        <v>95</v>
      </c>
      <c r="H38" s="25" t="s">
        <v>100</v>
      </c>
      <c r="I38" s="25" t="s">
        <v>95</v>
      </c>
      <c r="J38" s="25" t="s">
        <v>95</v>
      </c>
      <c r="K38" s="25" t="s">
        <v>95</v>
      </c>
      <c r="L38" s="25" t="s">
        <v>100</v>
      </c>
      <c r="M38" s="33"/>
      <c r="N38" s="25" t="s">
        <v>100</v>
      </c>
      <c r="O38" s="33"/>
      <c r="P38" s="25" t="s">
        <v>100</v>
      </c>
      <c r="Q38" s="25" t="s">
        <v>100</v>
      </c>
      <c r="R38" s="29"/>
      <c r="S38" s="24" t="s">
        <v>114</v>
      </c>
      <c r="T38" s="30">
        <f t="shared" si="3"/>
        <v>54.54545455</v>
      </c>
      <c r="U38" s="24" t="s">
        <v>117</v>
      </c>
    </row>
    <row r="39">
      <c r="A39" s="24">
        <v>34.0</v>
      </c>
      <c r="B39" s="34" t="s">
        <v>441</v>
      </c>
      <c r="C39" s="24" t="s">
        <v>442</v>
      </c>
      <c r="D39" s="24">
        <v>6.0</v>
      </c>
      <c r="E39" s="25" t="s">
        <v>95</v>
      </c>
      <c r="F39" s="25" t="s">
        <v>95</v>
      </c>
      <c r="G39" s="25" t="s">
        <v>100</v>
      </c>
      <c r="H39" s="25" t="s">
        <v>100</v>
      </c>
      <c r="I39" s="25" t="s">
        <v>100</v>
      </c>
      <c r="J39" s="25" t="s">
        <v>100</v>
      </c>
      <c r="K39" s="25" t="s">
        <v>100</v>
      </c>
      <c r="L39" s="25" t="s">
        <v>100</v>
      </c>
      <c r="M39" s="33"/>
      <c r="N39" s="25" t="s">
        <v>100</v>
      </c>
      <c r="O39" s="33"/>
      <c r="P39" s="25" t="s">
        <v>100</v>
      </c>
      <c r="Q39" s="25" t="s">
        <v>100</v>
      </c>
      <c r="R39" s="29"/>
      <c r="S39" s="24" t="s">
        <v>114</v>
      </c>
      <c r="T39" s="30">
        <f t="shared" si="3"/>
        <v>18.18181818</v>
      </c>
      <c r="U39" s="24" t="s">
        <v>117</v>
      </c>
    </row>
    <row r="40">
      <c r="A40" s="24">
        <v>35.0</v>
      </c>
      <c r="B40" s="27" t="s">
        <v>450</v>
      </c>
      <c r="C40" s="24" t="s">
        <v>451</v>
      </c>
      <c r="D40" s="24">
        <v>6.0</v>
      </c>
      <c r="E40" s="25" t="s">
        <v>95</v>
      </c>
      <c r="F40" s="25" t="s">
        <v>95</v>
      </c>
      <c r="G40" s="25" t="s">
        <v>95</v>
      </c>
      <c r="H40" s="25" t="s">
        <v>95</v>
      </c>
      <c r="I40" s="25" t="s">
        <v>95</v>
      </c>
      <c r="J40" s="25" t="s">
        <v>100</v>
      </c>
      <c r="K40" s="25" t="s">
        <v>100</v>
      </c>
      <c r="L40" s="25" t="s">
        <v>100</v>
      </c>
      <c r="M40" s="33"/>
      <c r="N40" s="25" t="s">
        <v>100</v>
      </c>
      <c r="O40" s="33"/>
      <c r="P40" s="25" t="s">
        <v>100</v>
      </c>
      <c r="Q40" s="25" t="s">
        <v>100</v>
      </c>
      <c r="R40" s="29"/>
      <c r="S40" s="24" t="s">
        <v>114</v>
      </c>
      <c r="T40" s="30">
        <f t="shared" si="3"/>
        <v>45.45454545</v>
      </c>
      <c r="U40" s="24" t="s">
        <v>117</v>
      </c>
    </row>
    <row r="41">
      <c r="A41" s="24">
        <v>36.0</v>
      </c>
      <c r="B41" s="27" t="s">
        <v>462</v>
      </c>
      <c r="C41" s="24" t="s">
        <v>463</v>
      </c>
      <c r="D41" s="24">
        <v>6.0</v>
      </c>
      <c r="E41" s="25" t="s">
        <v>95</v>
      </c>
      <c r="F41" s="25" t="s">
        <v>95</v>
      </c>
      <c r="G41" s="25" t="s">
        <v>95</v>
      </c>
      <c r="H41" s="25" t="s">
        <v>95</v>
      </c>
      <c r="I41" s="25" t="s">
        <v>95</v>
      </c>
      <c r="J41" s="25" t="s">
        <v>95</v>
      </c>
      <c r="K41" s="25" t="s">
        <v>95</v>
      </c>
      <c r="L41" s="25" t="s">
        <v>95</v>
      </c>
      <c r="M41" s="33"/>
      <c r="N41" s="25" t="s">
        <v>95</v>
      </c>
      <c r="O41" s="33"/>
      <c r="P41" s="25" t="s">
        <v>95</v>
      </c>
      <c r="Q41" s="25" t="s">
        <v>95</v>
      </c>
      <c r="R41" s="25">
        <v>3.463300513E9</v>
      </c>
      <c r="S41" s="24" t="s">
        <v>114</v>
      </c>
      <c r="T41" s="30">
        <f t="shared" si="3"/>
        <v>100</v>
      </c>
      <c r="U41" s="24" t="s">
        <v>117</v>
      </c>
    </row>
    <row r="42">
      <c r="A42" s="24">
        <v>37.0</v>
      </c>
      <c r="B42" s="34" t="s">
        <v>469</v>
      </c>
      <c r="C42" s="24" t="s">
        <v>241</v>
      </c>
      <c r="D42" s="24">
        <v>4.0</v>
      </c>
      <c r="E42" s="25" t="s">
        <v>100</v>
      </c>
      <c r="F42" s="25" t="s">
        <v>95</v>
      </c>
      <c r="G42" s="25" t="s">
        <v>95</v>
      </c>
      <c r="H42" s="25" t="s">
        <v>100</v>
      </c>
      <c r="I42" s="25" t="s">
        <v>95</v>
      </c>
      <c r="J42" s="25" t="s">
        <v>100</v>
      </c>
      <c r="K42" s="25" t="s">
        <v>100</v>
      </c>
      <c r="L42" s="25" t="s">
        <v>100</v>
      </c>
      <c r="M42" s="33"/>
      <c r="N42" s="25" t="s">
        <v>100</v>
      </c>
      <c r="O42" s="33"/>
      <c r="P42" s="25" t="s">
        <v>100</v>
      </c>
      <c r="Q42" s="25" t="s">
        <v>100</v>
      </c>
      <c r="R42" s="29"/>
      <c r="S42" s="24" t="s">
        <v>114</v>
      </c>
      <c r="T42" s="30">
        <f t="shared" si="3"/>
        <v>27.27272727</v>
      </c>
      <c r="U42" s="24" t="s">
        <v>117</v>
      </c>
    </row>
    <row r="43">
      <c r="A43" s="24">
        <v>38.0</v>
      </c>
      <c r="B43" s="27" t="s">
        <v>476</v>
      </c>
      <c r="C43" s="24" t="s">
        <v>479</v>
      </c>
      <c r="D43" s="24">
        <v>6.0</v>
      </c>
      <c r="E43" s="25" t="s">
        <v>100</v>
      </c>
      <c r="F43" s="25" t="s">
        <v>95</v>
      </c>
      <c r="G43" s="25" t="s">
        <v>95</v>
      </c>
      <c r="H43" s="25" t="s">
        <v>95</v>
      </c>
      <c r="I43" s="25" t="s">
        <v>95</v>
      </c>
      <c r="J43" s="25" t="s">
        <v>95</v>
      </c>
      <c r="K43" s="25" t="s">
        <v>95</v>
      </c>
      <c r="L43" s="25" t="s">
        <v>95</v>
      </c>
      <c r="M43" s="33"/>
      <c r="N43" s="25" t="s">
        <v>100</v>
      </c>
      <c r="O43" s="33"/>
      <c r="P43" s="25" t="s">
        <v>100</v>
      </c>
      <c r="Q43" s="25" t="s">
        <v>95</v>
      </c>
      <c r="R43" s="25">
        <v>3.212363829E9</v>
      </c>
      <c r="S43" s="24" t="s">
        <v>114</v>
      </c>
      <c r="T43" s="30">
        <f t="shared" si="3"/>
        <v>72.72727273</v>
      </c>
      <c r="U43" s="24" t="s">
        <v>117</v>
      </c>
    </row>
    <row r="44">
      <c r="A44" s="24">
        <v>39.0</v>
      </c>
      <c r="B44" s="34" t="s">
        <v>487</v>
      </c>
      <c r="C44" s="24" t="s">
        <v>489</v>
      </c>
      <c r="D44" s="24">
        <v>6.0</v>
      </c>
      <c r="E44" s="25" t="s">
        <v>95</v>
      </c>
      <c r="F44" s="25" t="s">
        <v>95</v>
      </c>
      <c r="G44" s="25" t="s">
        <v>95</v>
      </c>
      <c r="H44" s="25" t="s">
        <v>100</v>
      </c>
      <c r="I44" s="25" t="s">
        <v>100</v>
      </c>
      <c r="J44" s="25" t="s">
        <v>100</v>
      </c>
      <c r="K44" s="25" t="s">
        <v>100</v>
      </c>
      <c r="L44" s="25" t="s">
        <v>100</v>
      </c>
      <c r="M44" s="33"/>
      <c r="N44" s="25" t="s">
        <v>100</v>
      </c>
      <c r="O44" s="33"/>
      <c r="P44" s="25" t="s">
        <v>100</v>
      </c>
      <c r="Q44" s="25" t="s">
        <v>100</v>
      </c>
      <c r="R44" s="29"/>
      <c r="S44" s="24" t="s">
        <v>114</v>
      </c>
      <c r="T44" s="30">
        <f t="shared" si="3"/>
        <v>27.27272727</v>
      </c>
      <c r="U44" s="24" t="s">
        <v>117</v>
      </c>
    </row>
    <row r="45">
      <c r="A45" s="24">
        <v>40.0</v>
      </c>
      <c r="B45" s="34" t="s">
        <v>497</v>
      </c>
      <c r="C45" s="24" t="s">
        <v>499</v>
      </c>
      <c r="D45" s="24">
        <v>4.0</v>
      </c>
      <c r="E45" s="25" t="s">
        <v>100</v>
      </c>
      <c r="F45" s="25" t="s">
        <v>95</v>
      </c>
      <c r="G45" s="25" t="s">
        <v>95</v>
      </c>
      <c r="H45" s="25" t="s">
        <v>95</v>
      </c>
      <c r="I45" s="25" t="s">
        <v>95</v>
      </c>
      <c r="J45" s="25" t="s">
        <v>95</v>
      </c>
      <c r="K45" s="25" t="s">
        <v>100</v>
      </c>
      <c r="L45" s="25" t="s">
        <v>100</v>
      </c>
      <c r="M45" s="33"/>
      <c r="N45" s="25" t="s">
        <v>100</v>
      </c>
      <c r="O45" s="33"/>
      <c r="P45" s="25" t="s">
        <v>100</v>
      </c>
      <c r="Q45" s="25" t="s">
        <v>100</v>
      </c>
      <c r="R45" s="29"/>
      <c r="S45" s="24" t="s">
        <v>114</v>
      </c>
      <c r="T45" s="30">
        <f t="shared" si="3"/>
        <v>45.45454545</v>
      </c>
      <c r="U45" s="24" t="s">
        <v>117</v>
      </c>
    </row>
    <row r="46">
      <c r="A46" s="24">
        <v>41.0</v>
      </c>
      <c r="B46" s="27" t="s">
        <v>505</v>
      </c>
      <c r="C46" s="24" t="s">
        <v>507</v>
      </c>
      <c r="D46" s="24">
        <v>4.0</v>
      </c>
      <c r="E46" s="25" t="s">
        <v>100</v>
      </c>
      <c r="F46" s="25" t="s">
        <v>95</v>
      </c>
      <c r="G46" s="25" t="s">
        <v>95</v>
      </c>
      <c r="H46" s="25" t="s">
        <v>95</v>
      </c>
      <c r="I46" s="25" t="s">
        <v>95</v>
      </c>
      <c r="J46" s="25" t="s">
        <v>95</v>
      </c>
      <c r="K46" s="25" t="s">
        <v>95</v>
      </c>
      <c r="L46" s="25" t="s">
        <v>95</v>
      </c>
      <c r="M46" s="33"/>
      <c r="N46" s="25" t="s">
        <v>95</v>
      </c>
      <c r="O46" s="33"/>
      <c r="P46" s="25" t="s">
        <v>95</v>
      </c>
      <c r="Q46" s="25" t="s">
        <v>95</v>
      </c>
      <c r="R46" s="29"/>
      <c r="S46" s="24" t="s">
        <v>114</v>
      </c>
      <c r="T46" s="30">
        <f t="shared" si="3"/>
        <v>90.90909091</v>
      </c>
      <c r="U46" s="24" t="s">
        <v>117</v>
      </c>
    </row>
    <row r="47">
      <c r="A47" s="24">
        <v>42.0</v>
      </c>
      <c r="B47" s="34" t="s">
        <v>512</v>
      </c>
      <c r="C47" s="24" t="s">
        <v>513</v>
      </c>
      <c r="D47" s="24">
        <v>5.0</v>
      </c>
      <c r="E47" s="25" t="s">
        <v>100</v>
      </c>
      <c r="F47" s="25" t="s">
        <v>95</v>
      </c>
      <c r="G47" s="25" t="s">
        <v>100</v>
      </c>
      <c r="H47" s="25" t="s">
        <v>100</v>
      </c>
      <c r="I47" s="25" t="s">
        <v>100</v>
      </c>
      <c r="J47" s="25" t="s">
        <v>95</v>
      </c>
      <c r="K47" s="25" t="s">
        <v>100</v>
      </c>
      <c r="L47" s="25" t="s">
        <v>100</v>
      </c>
      <c r="M47" s="33"/>
      <c r="N47" s="25" t="s">
        <v>100</v>
      </c>
      <c r="O47" s="33"/>
      <c r="P47" s="25" t="s">
        <v>100</v>
      </c>
      <c r="Q47" s="25" t="s">
        <v>100</v>
      </c>
      <c r="R47" s="29"/>
      <c r="S47" s="24" t="s">
        <v>114</v>
      </c>
      <c r="T47" s="30">
        <f t="shared" si="3"/>
        <v>18.18181818</v>
      </c>
      <c r="U47" s="24" t="s">
        <v>117</v>
      </c>
    </row>
    <row r="48">
      <c r="A48" s="24">
        <v>43.0</v>
      </c>
      <c r="B48" s="27" t="s">
        <v>521</v>
      </c>
      <c r="C48" s="24" t="s">
        <v>523</v>
      </c>
      <c r="D48" s="24">
        <v>5.0</v>
      </c>
      <c r="E48" s="25" t="s">
        <v>100</v>
      </c>
      <c r="F48" s="25" t="s">
        <v>95</v>
      </c>
      <c r="G48" s="25" t="s">
        <v>95</v>
      </c>
      <c r="H48" s="25" t="s">
        <v>95</v>
      </c>
      <c r="I48" s="25" t="s">
        <v>95</v>
      </c>
      <c r="J48" s="25" t="s">
        <v>95</v>
      </c>
      <c r="K48" s="25" t="s">
        <v>100</v>
      </c>
      <c r="L48" s="25" t="s">
        <v>100</v>
      </c>
      <c r="M48" s="33"/>
      <c r="N48" s="25" t="s">
        <v>100</v>
      </c>
      <c r="O48" s="33"/>
      <c r="P48" s="25" t="s">
        <v>100</v>
      </c>
      <c r="Q48" s="25" t="s">
        <v>100</v>
      </c>
      <c r="R48" s="29"/>
      <c r="S48" s="24" t="s">
        <v>114</v>
      </c>
      <c r="T48" s="30">
        <f t="shared" si="3"/>
        <v>45.45454545</v>
      </c>
      <c r="U48" s="24" t="s">
        <v>117</v>
      </c>
    </row>
    <row r="49">
      <c r="A49" s="24">
        <v>44.0</v>
      </c>
      <c r="B49" s="27" t="s">
        <v>531</v>
      </c>
      <c r="C49" s="24" t="s">
        <v>532</v>
      </c>
      <c r="D49" s="24">
        <v>6.0</v>
      </c>
      <c r="E49" s="25" t="s">
        <v>100</v>
      </c>
      <c r="F49" s="25" t="s">
        <v>95</v>
      </c>
      <c r="G49" s="25" t="s">
        <v>95</v>
      </c>
      <c r="H49" s="25" t="s">
        <v>100</v>
      </c>
      <c r="I49" s="25" t="s">
        <v>100</v>
      </c>
      <c r="J49" s="25" t="s">
        <v>100</v>
      </c>
      <c r="K49" s="25" t="s">
        <v>100</v>
      </c>
      <c r="L49" s="25" t="s">
        <v>95</v>
      </c>
      <c r="M49" s="33"/>
      <c r="N49" s="25" t="s">
        <v>95</v>
      </c>
      <c r="O49" s="33"/>
      <c r="P49" s="25" t="s">
        <v>100</v>
      </c>
      <c r="Q49" s="25" t="s">
        <v>95</v>
      </c>
      <c r="R49" s="29"/>
      <c r="S49" s="24" t="s">
        <v>114</v>
      </c>
      <c r="T49" s="30">
        <f t="shared" si="3"/>
        <v>45.45454545</v>
      </c>
      <c r="U49" s="24" t="s">
        <v>117</v>
      </c>
    </row>
    <row r="50">
      <c r="A50" s="24">
        <v>45.0</v>
      </c>
      <c r="B50" s="34" t="s">
        <v>540</v>
      </c>
      <c r="C50" s="24" t="s">
        <v>133</v>
      </c>
      <c r="D50" s="24">
        <v>6.0</v>
      </c>
      <c r="E50" s="25" t="s">
        <v>100</v>
      </c>
      <c r="F50" s="25" t="s">
        <v>95</v>
      </c>
      <c r="G50" s="25" t="s">
        <v>100</v>
      </c>
      <c r="H50" s="25" t="s">
        <v>100</v>
      </c>
      <c r="I50" s="25" t="s">
        <v>95</v>
      </c>
      <c r="J50" s="25" t="s">
        <v>100</v>
      </c>
      <c r="K50" s="25" t="s">
        <v>100</v>
      </c>
      <c r="L50" s="25" t="s">
        <v>100</v>
      </c>
      <c r="M50" s="33"/>
      <c r="N50" s="25" t="s">
        <v>100</v>
      </c>
      <c r="O50" s="33"/>
      <c r="P50" s="25" t="s">
        <v>100</v>
      </c>
      <c r="Q50" s="25" t="s">
        <v>100</v>
      </c>
      <c r="R50" s="29"/>
      <c r="S50" s="24" t="s">
        <v>114</v>
      </c>
      <c r="T50" s="30">
        <f t="shared" si="3"/>
        <v>18.18181818</v>
      </c>
      <c r="U50" s="24" t="s">
        <v>117</v>
      </c>
    </row>
    <row r="51">
      <c r="A51" s="24">
        <v>46.0</v>
      </c>
      <c r="B51" s="27" t="s">
        <v>547</v>
      </c>
      <c r="C51" s="24" t="s">
        <v>548</v>
      </c>
      <c r="D51" s="24">
        <v>5.0</v>
      </c>
      <c r="E51" s="25" t="s">
        <v>100</v>
      </c>
      <c r="F51" s="25" t="s">
        <v>95</v>
      </c>
      <c r="G51" s="25" t="s">
        <v>95</v>
      </c>
      <c r="H51" s="25" t="s">
        <v>100</v>
      </c>
      <c r="I51" s="25" t="s">
        <v>100</v>
      </c>
      <c r="J51" s="25" t="s">
        <v>100</v>
      </c>
      <c r="K51" s="25" t="s">
        <v>100</v>
      </c>
      <c r="L51" s="25" t="s">
        <v>100</v>
      </c>
      <c r="M51" s="33"/>
      <c r="N51" s="25" t="s">
        <v>100</v>
      </c>
      <c r="O51" s="33"/>
      <c r="P51" s="25" t="s">
        <v>100</v>
      </c>
      <c r="Q51" s="25" t="s">
        <v>100</v>
      </c>
      <c r="R51" s="29"/>
      <c r="S51" s="24" t="s">
        <v>114</v>
      </c>
      <c r="T51" s="30">
        <f t="shared" si="3"/>
        <v>18.18181818</v>
      </c>
      <c r="U51" s="24" t="s">
        <v>117</v>
      </c>
    </row>
    <row r="52">
      <c r="A52" s="24">
        <v>47.0</v>
      </c>
      <c r="B52" s="27" t="s">
        <v>349</v>
      </c>
      <c r="C52" s="24" t="s">
        <v>554</v>
      </c>
      <c r="D52" s="24">
        <v>5.0</v>
      </c>
      <c r="E52" s="25" t="s">
        <v>100</v>
      </c>
      <c r="F52" s="25" t="s">
        <v>95</v>
      </c>
      <c r="G52" s="25" t="s">
        <v>95</v>
      </c>
      <c r="H52" s="25" t="s">
        <v>95</v>
      </c>
      <c r="I52" s="25" t="s">
        <v>95</v>
      </c>
      <c r="J52" s="25" t="s">
        <v>95</v>
      </c>
      <c r="K52" s="25" t="s">
        <v>95</v>
      </c>
      <c r="L52" s="25" t="s">
        <v>95</v>
      </c>
      <c r="M52" s="33"/>
      <c r="N52" s="25" t="s">
        <v>100</v>
      </c>
      <c r="O52" s="33"/>
      <c r="P52" s="25" t="s">
        <v>100</v>
      </c>
      <c r="Q52" s="25" t="s">
        <v>100</v>
      </c>
      <c r="R52" s="29"/>
      <c r="S52" s="24" t="s">
        <v>114</v>
      </c>
      <c r="T52" s="30">
        <f t="shared" si="3"/>
        <v>63.63636364</v>
      </c>
      <c r="U52" s="24" t="s">
        <v>117</v>
      </c>
    </row>
    <row r="53">
      <c r="A53" s="24">
        <v>48.0</v>
      </c>
      <c r="B53" s="34" t="s">
        <v>558</v>
      </c>
      <c r="C53" s="24" t="s">
        <v>342</v>
      </c>
      <c r="D53" s="24">
        <v>5.0</v>
      </c>
      <c r="E53" s="25" t="s">
        <v>100</v>
      </c>
      <c r="F53" s="25" t="s">
        <v>95</v>
      </c>
      <c r="G53" s="25" t="s">
        <v>100</v>
      </c>
      <c r="H53" s="25" t="s">
        <v>100</v>
      </c>
      <c r="I53" s="25" t="s">
        <v>95</v>
      </c>
      <c r="J53" s="25" t="s">
        <v>100</v>
      </c>
      <c r="K53" s="25" t="s">
        <v>100</v>
      </c>
      <c r="L53" s="25" t="s">
        <v>100</v>
      </c>
      <c r="M53" s="33"/>
      <c r="N53" s="25" t="s">
        <v>100</v>
      </c>
      <c r="O53" s="33"/>
      <c r="P53" s="25" t="s">
        <v>100</v>
      </c>
      <c r="Q53" s="25" t="s">
        <v>100</v>
      </c>
      <c r="R53" s="29"/>
      <c r="S53" s="24" t="s">
        <v>114</v>
      </c>
      <c r="T53" s="30">
        <f t="shared" si="3"/>
        <v>18.18181818</v>
      </c>
      <c r="U53" s="24" t="s">
        <v>117</v>
      </c>
    </row>
    <row r="54">
      <c r="A54" s="24">
        <v>49.0</v>
      </c>
      <c r="B54" s="34" t="s">
        <v>563</v>
      </c>
      <c r="C54" s="24" t="s">
        <v>565</v>
      </c>
      <c r="D54" s="24">
        <v>6.0</v>
      </c>
      <c r="E54" s="25" t="s">
        <v>100</v>
      </c>
      <c r="F54" s="25" t="s">
        <v>95</v>
      </c>
      <c r="G54" s="25" t="s">
        <v>95</v>
      </c>
      <c r="H54" s="25" t="s">
        <v>95</v>
      </c>
      <c r="I54" s="25" t="s">
        <v>100</v>
      </c>
      <c r="J54" s="25" t="s">
        <v>100</v>
      </c>
      <c r="K54" s="25" t="s">
        <v>100</v>
      </c>
      <c r="L54" s="25" t="s">
        <v>100</v>
      </c>
      <c r="M54" s="33"/>
      <c r="N54" s="25" t="s">
        <v>100</v>
      </c>
      <c r="O54" s="33"/>
      <c r="P54" s="25" t="s">
        <v>100</v>
      </c>
      <c r="Q54" s="25" t="s">
        <v>100</v>
      </c>
      <c r="R54" s="29"/>
      <c r="S54" s="24" t="s">
        <v>114</v>
      </c>
      <c r="T54" s="30">
        <f t="shared" si="3"/>
        <v>27.27272727</v>
      </c>
      <c r="U54" s="24" t="s">
        <v>117</v>
      </c>
    </row>
    <row r="55">
      <c r="A55" s="24">
        <v>50.0</v>
      </c>
      <c r="B55" s="24" t="s">
        <v>568</v>
      </c>
      <c r="C55" s="24" t="s">
        <v>569</v>
      </c>
      <c r="D55" s="24">
        <v>5.0</v>
      </c>
      <c r="E55" s="25" t="s">
        <v>100</v>
      </c>
      <c r="F55" s="25" t="s">
        <v>100</v>
      </c>
      <c r="G55" s="25" t="s">
        <v>95</v>
      </c>
      <c r="H55" s="25" t="s">
        <v>95</v>
      </c>
      <c r="I55" s="25" t="s">
        <v>95</v>
      </c>
      <c r="J55" s="25" t="s">
        <v>95</v>
      </c>
      <c r="K55" s="25" t="s">
        <v>95</v>
      </c>
      <c r="L55" s="25" t="s">
        <v>95</v>
      </c>
      <c r="M55" s="33"/>
      <c r="N55" s="25" t="s">
        <v>95</v>
      </c>
      <c r="O55" s="33"/>
      <c r="P55" s="25" t="s">
        <v>100</v>
      </c>
      <c r="Q55" s="25" t="s">
        <v>95</v>
      </c>
      <c r="R55" s="29"/>
      <c r="S55" s="24" t="s">
        <v>114</v>
      </c>
      <c r="T55" s="30">
        <f t="shared" si="3"/>
        <v>72.72727273</v>
      </c>
      <c r="U55" s="24" t="s">
        <v>117</v>
      </c>
    </row>
    <row r="56">
      <c r="A56" s="24">
        <v>51.0</v>
      </c>
      <c r="B56" s="27" t="s">
        <v>573</v>
      </c>
      <c r="C56" s="24" t="s">
        <v>575</v>
      </c>
      <c r="D56" s="24">
        <v>4.0</v>
      </c>
      <c r="E56" s="25" t="s">
        <v>100</v>
      </c>
      <c r="F56" s="25" t="s">
        <v>100</v>
      </c>
      <c r="G56" s="25" t="s">
        <v>95</v>
      </c>
      <c r="H56" s="25" t="s">
        <v>95</v>
      </c>
      <c r="I56" s="25" t="s">
        <v>95</v>
      </c>
      <c r="J56" s="25" t="s">
        <v>100</v>
      </c>
      <c r="K56" s="25" t="s">
        <v>100</v>
      </c>
      <c r="L56" s="25" t="s">
        <v>100</v>
      </c>
      <c r="M56" s="33"/>
      <c r="N56" s="25" t="s">
        <v>100</v>
      </c>
      <c r="O56" s="33"/>
      <c r="P56" s="25" t="s">
        <v>100</v>
      </c>
      <c r="Q56" s="25" t="s">
        <v>100</v>
      </c>
      <c r="R56" s="29"/>
      <c r="S56" s="24" t="s">
        <v>114</v>
      </c>
      <c r="T56" s="30">
        <f t="shared" si="3"/>
        <v>27.27272727</v>
      </c>
      <c r="U56" s="24" t="s">
        <v>117</v>
      </c>
    </row>
    <row r="57">
      <c r="A57" s="24">
        <v>52.0</v>
      </c>
      <c r="B57" s="27" t="s">
        <v>508</v>
      </c>
      <c r="C57" s="24" t="s">
        <v>584</v>
      </c>
      <c r="D57" s="24">
        <v>6.0</v>
      </c>
      <c r="E57" s="25" t="s">
        <v>100</v>
      </c>
      <c r="F57" s="25" t="s">
        <v>95</v>
      </c>
      <c r="G57" s="25" t="s">
        <v>95</v>
      </c>
      <c r="H57" s="25" t="s">
        <v>95</v>
      </c>
      <c r="I57" s="25" t="s">
        <v>95</v>
      </c>
      <c r="J57" s="25" t="s">
        <v>95</v>
      </c>
      <c r="K57" s="25" t="s">
        <v>95</v>
      </c>
      <c r="L57" s="25" t="s">
        <v>95</v>
      </c>
      <c r="M57" s="33"/>
      <c r="N57" s="25" t="s">
        <v>95</v>
      </c>
      <c r="O57" s="33"/>
      <c r="P57" s="25" t="s">
        <v>100</v>
      </c>
      <c r="Q57" s="25" t="s">
        <v>95</v>
      </c>
      <c r="R57" s="25">
        <v>3.035323839E9</v>
      </c>
      <c r="S57" s="24" t="s">
        <v>114</v>
      </c>
      <c r="T57" s="30">
        <f t="shared" si="3"/>
        <v>81.81818182</v>
      </c>
      <c r="U57" s="24" t="s">
        <v>117</v>
      </c>
    </row>
    <row r="58">
      <c r="A58" s="24">
        <v>53.0</v>
      </c>
      <c r="B58" s="27" t="s">
        <v>593</v>
      </c>
      <c r="C58" s="24" t="s">
        <v>594</v>
      </c>
      <c r="D58" s="24">
        <v>6.0</v>
      </c>
      <c r="E58" s="25" t="s">
        <v>95</v>
      </c>
      <c r="F58" s="25" t="s">
        <v>100</v>
      </c>
      <c r="G58" s="25" t="s">
        <v>95</v>
      </c>
      <c r="H58" s="25" t="s">
        <v>100</v>
      </c>
      <c r="I58" s="25" t="s">
        <v>95</v>
      </c>
      <c r="J58" s="25" t="s">
        <v>100</v>
      </c>
      <c r="K58" s="25" t="s">
        <v>95</v>
      </c>
      <c r="L58" s="25" t="s">
        <v>95</v>
      </c>
      <c r="M58" s="33"/>
      <c r="N58" s="25" t="s">
        <v>95</v>
      </c>
      <c r="O58" s="33"/>
      <c r="P58" s="25" t="s">
        <v>100</v>
      </c>
      <c r="Q58" s="25" t="s">
        <v>95</v>
      </c>
      <c r="R58" s="29"/>
      <c r="S58" s="24" t="s">
        <v>114</v>
      </c>
      <c r="T58" s="30">
        <f t="shared" si="3"/>
        <v>63.63636364</v>
      </c>
      <c r="U58" s="24" t="s">
        <v>117</v>
      </c>
    </row>
    <row r="59">
      <c r="A59" s="24">
        <v>54.0</v>
      </c>
      <c r="B59" s="34" t="s">
        <v>368</v>
      </c>
      <c r="C59" s="24" t="s">
        <v>601</v>
      </c>
      <c r="D59" s="24">
        <v>6.0</v>
      </c>
      <c r="E59" s="25" t="s">
        <v>95</v>
      </c>
      <c r="F59" s="25" t="s">
        <v>100</v>
      </c>
      <c r="G59" s="25" t="s">
        <v>95</v>
      </c>
      <c r="H59" s="25" t="s">
        <v>100</v>
      </c>
      <c r="I59" s="25" t="s">
        <v>100</v>
      </c>
      <c r="J59" s="25" t="s">
        <v>100</v>
      </c>
      <c r="K59" s="25" t="s">
        <v>100</v>
      </c>
      <c r="L59" s="25" t="s">
        <v>100</v>
      </c>
      <c r="M59" s="33"/>
      <c r="N59" s="25" t="s">
        <v>100</v>
      </c>
      <c r="O59" s="33"/>
      <c r="P59" s="25" t="s">
        <v>100</v>
      </c>
      <c r="Q59" s="25" t="s">
        <v>100</v>
      </c>
      <c r="R59" s="29"/>
      <c r="S59" s="24" t="s">
        <v>114</v>
      </c>
      <c r="T59" s="30">
        <f t="shared" si="3"/>
        <v>18.18181818</v>
      </c>
      <c r="U59" s="24" t="s">
        <v>117</v>
      </c>
    </row>
    <row r="60">
      <c r="A60" s="24">
        <v>55.0</v>
      </c>
      <c r="B60" s="27" t="s">
        <v>609</v>
      </c>
      <c r="C60" s="24" t="s">
        <v>610</v>
      </c>
      <c r="D60" s="24">
        <v>3.0</v>
      </c>
      <c r="E60" s="25" t="s">
        <v>95</v>
      </c>
      <c r="F60" s="25" t="s">
        <v>100</v>
      </c>
      <c r="G60" s="25" t="s">
        <v>100</v>
      </c>
      <c r="H60" s="25" t="s">
        <v>95</v>
      </c>
      <c r="I60" s="25" t="s">
        <v>95</v>
      </c>
      <c r="J60" s="25" t="s">
        <v>95</v>
      </c>
      <c r="K60" s="25" t="s">
        <v>95</v>
      </c>
      <c r="L60" s="25" t="s">
        <v>95</v>
      </c>
      <c r="M60" s="33"/>
      <c r="N60" s="25" t="s">
        <v>100</v>
      </c>
      <c r="O60" s="33"/>
      <c r="P60" s="25" t="s">
        <v>100</v>
      </c>
      <c r="Q60" s="25" t="s">
        <v>95</v>
      </c>
      <c r="R60" s="29"/>
      <c r="S60" s="24" t="s">
        <v>114</v>
      </c>
      <c r="T60" s="30">
        <f t="shared" si="3"/>
        <v>63.63636364</v>
      </c>
      <c r="U60" s="24" t="s">
        <v>117</v>
      </c>
    </row>
    <row r="61">
      <c r="A61" s="24">
        <v>56.0</v>
      </c>
      <c r="B61" s="37" t="s">
        <v>618</v>
      </c>
      <c r="C61" s="24" t="s">
        <v>620</v>
      </c>
      <c r="D61" s="24">
        <v>5.0</v>
      </c>
      <c r="E61" s="25" t="s">
        <v>100</v>
      </c>
      <c r="F61" s="25" t="s">
        <v>100</v>
      </c>
      <c r="G61" s="25" t="s">
        <v>100</v>
      </c>
      <c r="H61" s="25" t="s">
        <v>95</v>
      </c>
      <c r="I61" s="25" t="s">
        <v>95</v>
      </c>
      <c r="J61" s="25" t="s">
        <v>95</v>
      </c>
      <c r="K61" s="25" t="s">
        <v>100</v>
      </c>
      <c r="L61" s="25" t="s">
        <v>95</v>
      </c>
      <c r="M61" s="33"/>
      <c r="N61" s="25" t="s">
        <v>100</v>
      </c>
      <c r="O61" s="33"/>
      <c r="P61" s="25" t="s">
        <v>100</v>
      </c>
      <c r="Q61" s="25" t="s">
        <v>100</v>
      </c>
      <c r="R61" s="29"/>
      <c r="S61" s="24" t="s">
        <v>114</v>
      </c>
      <c r="T61" s="30">
        <f t="shared" si="3"/>
        <v>36.36363636</v>
      </c>
      <c r="U61" s="24" t="s">
        <v>117</v>
      </c>
    </row>
    <row r="62">
      <c r="A62" s="24">
        <v>57.0</v>
      </c>
      <c r="B62" s="24" t="s">
        <v>625</v>
      </c>
      <c r="C62" s="24" t="s">
        <v>626</v>
      </c>
      <c r="D62" s="24">
        <v>5.0</v>
      </c>
      <c r="E62" s="25" t="s">
        <v>100</v>
      </c>
      <c r="F62" s="25" t="s">
        <v>100</v>
      </c>
      <c r="G62" s="25" t="s">
        <v>100</v>
      </c>
      <c r="H62" s="25" t="s">
        <v>95</v>
      </c>
      <c r="I62" s="25" t="s">
        <v>100</v>
      </c>
      <c r="J62" s="25" t="s">
        <v>100</v>
      </c>
      <c r="K62" s="25" t="s">
        <v>95</v>
      </c>
      <c r="L62" s="25" t="s">
        <v>95</v>
      </c>
      <c r="M62" s="33"/>
      <c r="N62" s="25" t="s">
        <v>95</v>
      </c>
      <c r="O62" s="33"/>
      <c r="P62" s="25" t="s">
        <v>95</v>
      </c>
      <c r="Q62" s="25" t="s">
        <v>100</v>
      </c>
      <c r="R62" s="29"/>
      <c r="S62" s="24" t="s">
        <v>114</v>
      </c>
      <c r="T62" s="30">
        <f t="shared" si="3"/>
        <v>45.45454545</v>
      </c>
      <c r="U62" s="24" t="s">
        <v>117</v>
      </c>
    </row>
    <row r="63">
      <c r="A63" s="24">
        <v>58.0</v>
      </c>
      <c r="B63" s="34" t="s">
        <v>631</v>
      </c>
      <c r="C63" s="24" t="s">
        <v>206</v>
      </c>
      <c r="D63" s="24">
        <v>4.0</v>
      </c>
      <c r="E63" s="25" t="s">
        <v>100</v>
      </c>
      <c r="F63" s="25" t="s">
        <v>100</v>
      </c>
      <c r="G63" s="25" t="s">
        <v>100</v>
      </c>
      <c r="H63" s="25" t="s">
        <v>95</v>
      </c>
      <c r="I63" s="25" t="s">
        <v>95</v>
      </c>
      <c r="J63" s="25" t="s">
        <v>100</v>
      </c>
      <c r="K63" s="25" t="s">
        <v>100</v>
      </c>
      <c r="L63" s="25" t="s">
        <v>100</v>
      </c>
      <c r="M63" s="33"/>
      <c r="N63" s="25" t="s">
        <v>100</v>
      </c>
      <c r="O63" s="33"/>
      <c r="P63" s="25" t="s">
        <v>100</v>
      </c>
      <c r="Q63" s="25" t="s">
        <v>100</v>
      </c>
      <c r="R63" s="29"/>
      <c r="S63" s="24" t="s">
        <v>114</v>
      </c>
      <c r="T63" s="30">
        <f t="shared" si="3"/>
        <v>18.18181818</v>
      </c>
      <c r="U63" s="24" t="s">
        <v>117</v>
      </c>
    </row>
    <row r="64">
      <c r="A64" s="24">
        <v>59.0</v>
      </c>
      <c r="B64" s="34" t="s">
        <v>636</v>
      </c>
      <c r="C64" s="24" t="s">
        <v>637</v>
      </c>
      <c r="D64" s="24">
        <v>4.0</v>
      </c>
      <c r="E64" s="25" t="s">
        <v>100</v>
      </c>
      <c r="F64" s="25" t="s">
        <v>100</v>
      </c>
      <c r="G64" s="25" t="s">
        <v>100</v>
      </c>
      <c r="H64" s="25" t="s">
        <v>100</v>
      </c>
      <c r="I64" s="25" t="s">
        <v>100</v>
      </c>
      <c r="J64" s="25" t="s">
        <v>100</v>
      </c>
      <c r="K64" s="25" t="s">
        <v>95</v>
      </c>
      <c r="L64" s="25" t="s">
        <v>100</v>
      </c>
      <c r="M64" s="39"/>
      <c r="N64" s="25" t="s">
        <v>100</v>
      </c>
      <c r="O64" s="39"/>
      <c r="P64" s="25" t="s">
        <v>100</v>
      </c>
      <c r="Q64" s="25" t="s">
        <v>100</v>
      </c>
      <c r="R64" s="29"/>
      <c r="S64" s="24" t="s">
        <v>114</v>
      </c>
      <c r="T64" s="30">
        <f t="shared" si="3"/>
        <v>9.090909091</v>
      </c>
      <c r="U64" s="24" t="s">
        <v>117</v>
      </c>
    </row>
  </sheetData>
  <mergeCells count="3">
    <mergeCell ref="M6:M64"/>
    <mergeCell ref="O6:O64"/>
    <mergeCell ref="A1:U2"/>
  </mergeCells>
  <conditionalFormatting sqref="T6:T64">
    <cfRule type="cellIs" dxfId="0" priority="1" operator="lessThan">
      <formula>50</formula>
    </cfRule>
  </conditionalFormatting>
  <conditionalFormatting sqref="T6:T64">
    <cfRule type="cellIs" dxfId="1" priority="2" operator="lessThan">
      <formula>70</formula>
    </cfRule>
  </conditionalFormatting>
  <conditionalFormatting sqref="T6:T64">
    <cfRule type="cellIs" dxfId="2" priority="3" operator="greaterThanOrEqual">
      <formula>70</formula>
    </cfRule>
  </conditionalFormatting>
  <conditionalFormatting sqref="E6:N40">
    <cfRule type="cellIs" dxfId="2" priority="4" operator="equal">
      <formula>"P"</formula>
    </cfRule>
  </conditionalFormatting>
  <conditionalFormatting sqref="E6:N40">
    <cfRule type="cellIs" dxfId="0" priority="5" operator="equal">
      <formula>"A"</formula>
    </cfRule>
  </conditionalFormatting>
  <conditionalFormatting sqref="E41:L54 N53:N54 P53:P54">
    <cfRule type="cellIs" dxfId="2" priority="6" operator="equal">
      <formula>"P"</formula>
    </cfRule>
  </conditionalFormatting>
  <conditionalFormatting sqref="E41:L54 N53:N54 P53:P54">
    <cfRule type="cellIs" dxfId="0" priority="7" operator="equal">
      <formula>"A"</formula>
    </cfRule>
  </conditionalFormatting>
  <conditionalFormatting sqref="E55:L63 N55:N63 P55:P63">
    <cfRule type="cellIs" dxfId="2" priority="8" operator="equal">
      <formula>"P"</formula>
    </cfRule>
  </conditionalFormatting>
  <conditionalFormatting sqref="E55:L63 N55:N63 P55:P63">
    <cfRule type="cellIs" dxfId="0" priority="9" operator="equal">
      <formula>"A"</formula>
    </cfRule>
  </conditionalFormatting>
  <conditionalFormatting sqref="P6:R64 N41:N52 E64:L64 N64">
    <cfRule type="containsText" dxfId="2" priority="10" operator="containsText" text="P">
      <formula>NOT(ISERROR(SEARCH(("P"),(P6))))</formula>
    </cfRule>
  </conditionalFormatting>
  <conditionalFormatting sqref="P6:R64 N41:N52 E64:L64 N64">
    <cfRule type="containsText" dxfId="0" priority="11" operator="containsText" text="A">
      <formula>NOT(ISERROR(SEARCH(("A"),(P6))))</formula>
    </cfRule>
  </conditionalFormatting>
  <conditionalFormatting sqref="S6:S64">
    <cfRule type="cellIs" dxfId="0" priority="12" operator="equal">
      <formula>"Not Submitted"</formula>
    </cfRule>
  </conditionalFormatting>
  <conditionalFormatting sqref="S6:S64">
    <cfRule type="cellIs" dxfId="1" priority="13" operator="equal">
      <formula>"Submitted"</formula>
    </cfRule>
  </conditionalFormatting>
  <conditionalFormatting sqref="S6:S64">
    <cfRule type="cellIs" dxfId="2" priority="14" operator="equal">
      <formula>"Approved"</formula>
    </cfRule>
  </conditionalFormatting>
  <conditionalFormatting sqref="U6:U64">
    <cfRule type="cellIs" dxfId="0" priority="15" operator="equal">
      <formula>"Not Certified"</formula>
    </cfRule>
  </conditionalFormatting>
  <conditionalFormatting sqref="U6:U64">
    <cfRule type="cellIs" dxfId="2" priority="16" operator="equal">
      <formula>"Certified"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88"/>
    <col customWidth="1" min="2" max="2" width="21.13"/>
    <col customWidth="1" min="3" max="3" width="20.0"/>
    <col customWidth="1" min="4" max="4" width="6.75"/>
    <col customWidth="1" min="5" max="5" width="13.75"/>
    <col customWidth="1" min="7" max="7" width="19.88"/>
    <col customWidth="1" min="8" max="8" width="20.63"/>
    <col customWidth="1" min="15" max="15" width="34.75"/>
  </cols>
  <sheetData>
    <row r="1">
      <c r="A1" s="1" t="s">
        <v>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5"/>
    </row>
    <row r="2">
      <c r="A2" s="9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3"/>
    </row>
    <row r="3">
      <c r="A3" s="15" t="s">
        <v>26</v>
      </c>
      <c r="B3" s="16" t="s">
        <v>5</v>
      </c>
      <c r="C3" s="16" t="s">
        <v>32</v>
      </c>
      <c r="D3" s="16" t="s">
        <v>35</v>
      </c>
      <c r="E3" s="19">
        <v>46189.0</v>
      </c>
      <c r="F3" s="19">
        <v>46191.0</v>
      </c>
      <c r="G3" s="19">
        <v>46196.0</v>
      </c>
      <c r="H3" s="19">
        <v>46198.0</v>
      </c>
      <c r="I3" s="19">
        <v>46203.0</v>
      </c>
      <c r="J3" s="19">
        <v>46205.0</v>
      </c>
      <c r="K3" s="19">
        <v>46210.0</v>
      </c>
      <c r="L3" s="19">
        <v>46212.0</v>
      </c>
      <c r="M3" s="19">
        <v>46217.0</v>
      </c>
      <c r="N3" s="19">
        <v>46219.0</v>
      </c>
      <c r="O3" s="19">
        <v>46224.0</v>
      </c>
      <c r="P3" s="19">
        <v>46226.0</v>
      </c>
      <c r="Q3" s="19">
        <v>46231.0</v>
      </c>
      <c r="R3" s="19">
        <v>46233.0</v>
      </c>
      <c r="S3" s="20" t="s">
        <v>53</v>
      </c>
      <c r="T3" s="20" t="s">
        <v>56</v>
      </c>
      <c r="U3" s="20" t="s">
        <v>58</v>
      </c>
    </row>
    <row r="4">
      <c r="A4" s="15"/>
      <c r="B4" s="16" t="s">
        <v>60</v>
      </c>
      <c r="C4" s="16"/>
      <c r="D4" s="16"/>
      <c r="E4" s="16">
        <f t="shared" ref="E4:R4" si="1">COUNTIF(E6:E63, "P")</f>
        <v>40</v>
      </c>
      <c r="F4" s="16">
        <f t="shared" si="1"/>
        <v>50</v>
      </c>
      <c r="G4" s="16">
        <f t="shared" si="1"/>
        <v>0</v>
      </c>
      <c r="H4" s="16">
        <f t="shared" si="1"/>
        <v>0</v>
      </c>
      <c r="I4" s="16">
        <f t="shared" si="1"/>
        <v>27</v>
      </c>
      <c r="J4" s="16">
        <f t="shared" si="1"/>
        <v>31</v>
      </c>
      <c r="K4" s="16">
        <f t="shared" si="1"/>
        <v>27</v>
      </c>
      <c r="L4" s="16">
        <f t="shared" si="1"/>
        <v>28</v>
      </c>
      <c r="M4" s="16">
        <f t="shared" si="1"/>
        <v>0</v>
      </c>
      <c r="N4" s="16">
        <f t="shared" si="1"/>
        <v>19</v>
      </c>
      <c r="O4" s="16">
        <f t="shared" si="1"/>
        <v>9</v>
      </c>
      <c r="P4" s="16">
        <f t="shared" si="1"/>
        <v>18</v>
      </c>
      <c r="Q4" s="16">
        <f t="shared" si="1"/>
        <v>18</v>
      </c>
      <c r="R4" s="16">
        <f t="shared" si="1"/>
        <v>0</v>
      </c>
      <c r="S4" s="23"/>
      <c r="T4" s="23"/>
      <c r="U4" s="23"/>
    </row>
    <row r="5">
      <c r="A5" s="15"/>
      <c r="B5" s="16" t="s">
        <v>85</v>
      </c>
      <c r="C5" s="16"/>
      <c r="D5" s="16"/>
      <c r="E5" s="16">
        <f t="shared" ref="E5:R5" si="2">COUNTIF(E6:E64, "A")</f>
        <v>18</v>
      </c>
      <c r="F5" s="16">
        <f t="shared" si="2"/>
        <v>8</v>
      </c>
      <c r="G5" s="16">
        <f t="shared" si="2"/>
        <v>0</v>
      </c>
      <c r="H5" s="16">
        <f t="shared" si="2"/>
        <v>0</v>
      </c>
      <c r="I5" s="16">
        <f t="shared" si="2"/>
        <v>31</v>
      </c>
      <c r="J5" s="16">
        <f t="shared" si="2"/>
        <v>27</v>
      </c>
      <c r="K5" s="16">
        <f t="shared" si="2"/>
        <v>31</v>
      </c>
      <c r="L5" s="16">
        <f t="shared" si="2"/>
        <v>30</v>
      </c>
      <c r="M5" s="16">
        <f t="shared" si="2"/>
        <v>0</v>
      </c>
      <c r="N5" s="16">
        <f t="shared" si="2"/>
        <v>39</v>
      </c>
      <c r="O5" s="16">
        <f t="shared" si="2"/>
        <v>0</v>
      </c>
      <c r="P5" s="16">
        <f t="shared" si="2"/>
        <v>40</v>
      </c>
      <c r="Q5" s="16">
        <f t="shared" si="2"/>
        <v>40</v>
      </c>
      <c r="R5" s="16">
        <f t="shared" si="2"/>
        <v>0</v>
      </c>
      <c r="S5" s="23"/>
      <c r="T5" s="23"/>
      <c r="U5" s="23"/>
    </row>
    <row r="6">
      <c r="A6" s="24">
        <v>1.0</v>
      </c>
      <c r="B6" s="24" t="s">
        <v>92</v>
      </c>
      <c r="C6" s="24" t="s">
        <v>93</v>
      </c>
      <c r="D6" s="24">
        <v>6.0</v>
      </c>
      <c r="E6" s="25" t="s">
        <v>95</v>
      </c>
      <c r="F6" s="25" t="s">
        <v>95</v>
      </c>
      <c r="G6" s="26" t="s">
        <v>97</v>
      </c>
      <c r="H6" s="26" t="s">
        <v>99</v>
      </c>
      <c r="I6" s="25" t="s">
        <v>100</v>
      </c>
      <c r="J6" s="25" t="s">
        <v>100</v>
      </c>
      <c r="K6" s="25" t="s">
        <v>100</v>
      </c>
      <c r="L6" s="25" t="s">
        <v>100</v>
      </c>
      <c r="M6" s="26" t="s">
        <v>103</v>
      </c>
      <c r="N6" s="25" t="s">
        <v>100</v>
      </c>
      <c r="O6" s="28" t="s">
        <v>107</v>
      </c>
      <c r="P6" s="25" t="s">
        <v>100</v>
      </c>
      <c r="Q6" s="25" t="s">
        <v>100</v>
      </c>
      <c r="R6" s="29"/>
      <c r="S6" s="24" t="s">
        <v>114</v>
      </c>
      <c r="T6" s="30">
        <f t="shared" ref="T6:T63" si="3">COUNTIF(E6:R6,"P")/(COUNTIF(E6:R6,"P")+COUNTIF(E6:R6,"A")) * 100</f>
        <v>22.22222222</v>
      </c>
      <c r="U6" s="24" t="s">
        <v>117</v>
      </c>
    </row>
    <row r="7">
      <c r="A7" s="24">
        <v>2.0</v>
      </c>
      <c r="B7" s="24" t="s">
        <v>121</v>
      </c>
      <c r="C7" s="24" t="s">
        <v>122</v>
      </c>
      <c r="D7" s="24">
        <v>7.0</v>
      </c>
      <c r="E7" s="25" t="s">
        <v>95</v>
      </c>
      <c r="F7" s="25" t="s">
        <v>95</v>
      </c>
      <c r="G7" s="31"/>
      <c r="H7" s="31"/>
      <c r="I7" s="25" t="s">
        <v>95</v>
      </c>
      <c r="J7" s="25" t="s">
        <v>95</v>
      </c>
      <c r="K7" s="25" t="s">
        <v>95</v>
      </c>
      <c r="L7" s="25" t="s">
        <v>95</v>
      </c>
      <c r="M7" s="31"/>
      <c r="N7" s="25" t="s">
        <v>95</v>
      </c>
      <c r="O7" s="32" t="s">
        <v>95</v>
      </c>
      <c r="P7" s="25" t="s">
        <v>95</v>
      </c>
      <c r="Q7" s="25" t="s">
        <v>95</v>
      </c>
      <c r="R7" s="29"/>
      <c r="S7" s="24" t="s">
        <v>114</v>
      </c>
      <c r="T7" s="30">
        <f t="shared" si="3"/>
        <v>100</v>
      </c>
      <c r="U7" s="24" t="s">
        <v>117</v>
      </c>
    </row>
    <row r="8">
      <c r="A8" s="24">
        <v>3.0</v>
      </c>
      <c r="B8" s="24" t="s">
        <v>133</v>
      </c>
      <c r="C8" s="24" t="s">
        <v>135</v>
      </c>
      <c r="D8" s="24">
        <v>7.0</v>
      </c>
      <c r="E8" s="25" t="s">
        <v>95</v>
      </c>
      <c r="F8" s="25" t="s">
        <v>95</v>
      </c>
      <c r="G8" s="31"/>
      <c r="H8" s="31"/>
      <c r="I8" s="25" t="s">
        <v>100</v>
      </c>
      <c r="J8" s="25" t="s">
        <v>100</v>
      </c>
      <c r="K8" s="25" t="s">
        <v>100</v>
      </c>
      <c r="L8" s="25" t="s">
        <v>100</v>
      </c>
      <c r="M8" s="31"/>
      <c r="N8" s="25" t="s">
        <v>100</v>
      </c>
      <c r="O8" s="32"/>
      <c r="P8" s="25" t="s">
        <v>100</v>
      </c>
      <c r="Q8" s="25" t="s">
        <v>100</v>
      </c>
      <c r="R8" s="29"/>
      <c r="S8" s="24" t="s">
        <v>114</v>
      </c>
      <c r="T8" s="30">
        <f t="shared" si="3"/>
        <v>22.22222222</v>
      </c>
      <c r="U8" s="24" t="s">
        <v>117</v>
      </c>
    </row>
    <row r="9">
      <c r="A9" s="24">
        <v>4.0</v>
      </c>
      <c r="B9" s="24" t="s">
        <v>147</v>
      </c>
      <c r="C9" s="24" t="s">
        <v>148</v>
      </c>
      <c r="D9" s="24">
        <v>7.0</v>
      </c>
      <c r="E9" s="25" t="s">
        <v>95</v>
      </c>
      <c r="F9" s="25" t="s">
        <v>95</v>
      </c>
      <c r="G9" s="31"/>
      <c r="H9" s="31"/>
      <c r="I9" s="25" t="s">
        <v>100</v>
      </c>
      <c r="J9" s="25" t="s">
        <v>100</v>
      </c>
      <c r="K9" s="25" t="s">
        <v>100</v>
      </c>
      <c r="L9" s="25" t="s">
        <v>100</v>
      </c>
      <c r="M9" s="31"/>
      <c r="N9" s="25" t="s">
        <v>100</v>
      </c>
      <c r="O9" s="32"/>
      <c r="P9" s="25" t="s">
        <v>100</v>
      </c>
      <c r="Q9" s="25" t="s">
        <v>95</v>
      </c>
      <c r="R9" s="29"/>
      <c r="S9" s="24" t="s">
        <v>114</v>
      </c>
      <c r="T9" s="30">
        <f t="shared" si="3"/>
        <v>33.33333333</v>
      </c>
      <c r="U9" s="24" t="s">
        <v>117</v>
      </c>
    </row>
    <row r="10">
      <c r="A10" s="24">
        <v>5.0</v>
      </c>
      <c r="B10" s="24" t="s">
        <v>161</v>
      </c>
      <c r="C10" s="24" t="s">
        <v>163</v>
      </c>
      <c r="D10" s="24">
        <v>7.0</v>
      </c>
      <c r="E10" s="25" t="s">
        <v>95</v>
      </c>
      <c r="F10" s="25" t="s">
        <v>95</v>
      </c>
      <c r="G10" s="31"/>
      <c r="H10" s="31"/>
      <c r="I10" s="25" t="s">
        <v>100</v>
      </c>
      <c r="J10" s="25" t="s">
        <v>95</v>
      </c>
      <c r="K10" s="25" t="s">
        <v>95</v>
      </c>
      <c r="L10" s="25" t="s">
        <v>95</v>
      </c>
      <c r="M10" s="31"/>
      <c r="N10" s="25" t="s">
        <v>95</v>
      </c>
      <c r="O10" s="32"/>
      <c r="P10" s="25" t="s">
        <v>100</v>
      </c>
      <c r="Q10" s="25" t="s">
        <v>100</v>
      </c>
      <c r="R10" s="29"/>
      <c r="S10" s="24" t="s">
        <v>114</v>
      </c>
      <c r="T10" s="30">
        <f t="shared" si="3"/>
        <v>66.66666667</v>
      </c>
      <c r="U10" s="24" t="s">
        <v>117</v>
      </c>
    </row>
    <row r="11">
      <c r="A11" s="24">
        <v>6.0</v>
      </c>
      <c r="B11" s="24" t="s">
        <v>174</v>
      </c>
      <c r="C11" s="24" t="s">
        <v>175</v>
      </c>
      <c r="D11" s="24">
        <v>7.0</v>
      </c>
      <c r="E11" s="25" t="s">
        <v>95</v>
      </c>
      <c r="F11" s="25" t="s">
        <v>100</v>
      </c>
      <c r="G11" s="31"/>
      <c r="H11" s="31"/>
      <c r="I11" s="25" t="s">
        <v>100</v>
      </c>
      <c r="J11" s="25" t="s">
        <v>95</v>
      </c>
      <c r="K11" s="25" t="s">
        <v>100</v>
      </c>
      <c r="L11" s="25" t="s">
        <v>95</v>
      </c>
      <c r="M11" s="31"/>
      <c r="N11" s="25" t="s">
        <v>95</v>
      </c>
      <c r="O11" s="32" t="s">
        <v>95</v>
      </c>
      <c r="P11" s="25" t="s">
        <v>100</v>
      </c>
      <c r="Q11" s="25" t="s">
        <v>95</v>
      </c>
      <c r="R11" s="29"/>
      <c r="S11" s="24" t="s">
        <v>114</v>
      </c>
      <c r="T11" s="30">
        <f t="shared" si="3"/>
        <v>60</v>
      </c>
      <c r="U11" s="24" t="s">
        <v>117</v>
      </c>
    </row>
    <row r="12">
      <c r="A12" s="24">
        <v>7.0</v>
      </c>
      <c r="B12" s="24" t="s">
        <v>187</v>
      </c>
      <c r="C12" s="24" t="s">
        <v>188</v>
      </c>
      <c r="D12" s="24">
        <v>7.0</v>
      </c>
      <c r="E12" s="25" t="s">
        <v>95</v>
      </c>
      <c r="F12" s="25" t="s">
        <v>95</v>
      </c>
      <c r="G12" s="31"/>
      <c r="H12" s="31"/>
      <c r="I12" s="25" t="s">
        <v>95</v>
      </c>
      <c r="J12" s="25" t="s">
        <v>95</v>
      </c>
      <c r="K12" s="25" t="s">
        <v>95</v>
      </c>
      <c r="L12" s="25" t="s">
        <v>95</v>
      </c>
      <c r="M12" s="31"/>
      <c r="N12" s="25" t="s">
        <v>100</v>
      </c>
      <c r="O12" s="32"/>
      <c r="P12" s="25" t="s">
        <v>100</v>
      </c>
      <c r="Q12" s="25" t="s">
        <v>95</v>
      </c>
      <c r="R12" s="29"/>
      <c r="S12" s="24" t="s">
        <v>114</v>
      </c>
      <c r="T12" s="30">
        <f t="shared" si="3"/>
        <v>77.77777778</v>
      </c>
      <c r="U12" s="24" t="s">
        <v>117</v>
      </c>
    </row>
    <row r="13">
      <c r="A13" s="24">
        <v>8.0</v>
      </c>
      <c r="B13" s="24" t="s">
        <v>197</v>
      </c>
      <c r="C13" s="24" t="s">
        <v>198</v>
      </c>
      <c r="D13" s="24">
        <v>7.0</v>
      </c>
      <c r="E13" s="25" t="s">
        <v>95</v>
      </c>
      <c r="F13" s="25" t="s">
        <v>95</v>
      </c>
      <c r="G13" s="31"/>
      <c r="H13" s="31"/>
      <c r="I13" s="25" t="s">
        <v>100</v>
      </c>
      <c r="J13" s="25" t="s">
        <v>100</v>
      </c>
      <c r="K13" s="25" t="s">
        <v>100</v>
      </c>
      <c r="L13" s="25" t="s">
        <v>100</v>
      </c>
      <c r="M13" s="31"/>
      <c r="N13" s="25" t="s">
        <v>100</v>
      </c>
      <c r="O13" s="32"/>
      <c r="P13" s="25" t="s">
        <v>100</v>
      </c>
      <c r="Q13" s="25" t="s">
        <v>100</v>
      </c>
      <c r="R13" s="29"/>
      <c r="S13" s="24" t="s">
        <v>114</v>
      </c>
      <c r="T13" s="30">
        <f t="shared" si="3"/>
        <v>22.22222222</v>
      </c>
      <c r="U13" s="24" t="s">
        <v>117</v>
      </c>
    </row>
    <row r="14">
      <c r="A14" s="24">
        <v>9.0</v>
      </c>
      <c r="B14" s="24" t="s">
        <v>209</v>
      </c>
      <c r="C14" s="24" t="s">
        <v>211</v>
      </c>
      <c r="D14" s="24">
        <v>7.0</v>
      </c>
      <c r="E14" s="25" t="s">
        <v>95</v>
      </c>
      <c r="F14" s="25" t="s">
        <v>95</v>
      </c>
      <c r="G14" s="31"/>
      <c r="H14" s="31"/>
      <c r="I14" s="25" t="s">
        <v>100</v>
      </c>
      <c r="J14" s="25" t="s">
        <v>100</v>
      </c>
      <c r="K14" s="25" t="s">
        <v>100</v>
      </c>
      <c r="L14" s="25" t="s">
        <v>100</v>
      </c>
      <c r="M14" s="31"/>
      <c r="N14" s="25" t="s">
        <v>100</v>
      </c>
      <c r="O14" s="32"/>
      <c r="P14" s="25" t="s">
        <v>100</v>
      </c>
      <c r="Q14" s="25" t="s">
        <v>100</v>
      </c>
      <c r="R14" s="29"/>
      <c r="S14" s="24" t="s">
        <v>114</v>
      </c>
      <c r="T14" s="30">
        <f t="shared" si="3"/>
        <v>22.22222222</v>
      </c>
      <c r="U14" s="24" t="s">
        <v>117</v>
      </c>
    </row>
    <row r="15">
      <c r="A15" s="24">
        <v>10.0</v>
      </c>
      <c r="B15" s="24" t="s">
        <v>174</v>
      </c>
      <c r="C15" s="24" t="s">
        <v>220</v>
      </c>
      <c r="D15" s="24">
        <v>7.0</v>
      </c>
      <c r="E15" s="25" t="s">
        <v>95</v>
      </c>
      <c r="F15" s="25" t="s">
        <v>95</v>
      </c>
      <c r="G15" s="31"/>
      <c r="H15" s="31"/>
      <c r="I15" s="25" t="s">
        <v>95</v>
      </c>
      <c r="J15" s="25" t="s">
        <v>100</v>
      </c>
      <c r="K15" s="25" t="s">
        <v>95</v>
      </c>
      <c r="L15" s="25" t="s">
        <v>95</v>
      </c>
      <c r="M15" s="31"/>
      <c r="N15" s="25" t="s">
        <v>95</v>
      </c>
      <c r="O15" s="32" t="s">
        <v>95</v>
      </c>
      <c r="P15" s="25" t="s">
        <v>95</v>
      </c>
      <c r="Q15" s="25" t="s">
        <v>95</v>
      </c>
      <c r="R15" s="29"/>
      <c r="S15" s="24" t="s">
        <v>114</v>
      </c>
      <c r="T15" s="30">
        <f t="shared" si="3"/>
        <v>90</v>
      </c>
      <c r="U15" s="24" t="s">
        <v>117</v>
      </c>
    </row>
    <row r="16">
      <c r="A16" s="24">
        <v>11.0</v>
      </c>
      <c r="B16" s="24" t="s">
        <v>230</v>
      </c>
      <c r="C16" s="24" t="s">
        <v>232</v>
      </c>
      <c r="D16" s="24">
        <v>7.0</v>
      </c>
      <c r="E16" s="25" t="s">
        <v>95</v>
      </c>
      <c r="F16" s="25" t="s">
        <v>100</v>
      </c>
      <c r="G16" s="31"/>
      <c r="H16" s="31"/>
      <c r="I16" s="25" t="s">
        <v>95</v>
      </c>
      <c r="J16" s="25" t="s">
        <v>95</v>
      </c>
      <c r="K16" s="25" t="s">
        <v>95</v>
      </c>
      <c r="L16" s="25" t="s">
        <v>95</v>
      </c>
      <c r="M16" s="31"/>
      <c r="N16" s="25" t="s">
        <v>95</v>
      </c>
      <c r="O16" s="32" t="s">
        <v>95</v>
      </c>
      <c r="P16" s="25" t="s">
        <v>95</v>
      </c>
      <c r="Q16" s="25" t="s">
        <v>95</v>
      </c>
      <c r="R16" s="29"/>
      <c r="S16" s="24" t="s">
        <v>114</v>
      </c>
      <c r="T16" s="30">
        <f t="shared" si="3"/>
        <v>90</v>
      </c>
      <c r="U16" s="24" t="s">
        <v>117</v>
      </c>
    </row>
    <row r="17">
      <c r="A17" s="24">
        <v>12.0</v>
      </c>
      <c r="B17" s="24" t="s">
        <v>240</v>
      </c>
      <c r="C17" s="24" t="s">
        <v>241</v>
      </c>
      <c r="D17" s="24">
        <v>7.0</v>
      </c>
      <c r="E17" s="25" t="s">
        <v>95</v>
      </c>
      <c r="F17" s="25" t="s">
        <v>95</v>
      </c>
      <c r="G17" s="31"/>
      <c r="H17" s="31"/>
      <c r="I17" s="25" t="s">
        <v>100</v>
      </c>
      <c r="J17" s="25" t="s">
        <v>100</v>
      </c>
      <c r="K17" s="25" t="s">
        <v>100</v>
      </c>
      <c r="L17" s="25" t="s">
        <v>100</v>
      </c>
      <c r="M17" s="31"/>
      <c r="N17" s="25" t="s">
        <v>100</v>
      </c>
      <c r="O17" s="32"/>
      <c r="P17" s="25" t="s">
        <v>100</v>
      </c>
      <c r="Q17" s="25" t="s">
        <v>100</v>
      </c>
      <c r="R17" s="29"/>
      <c r="S17" s="24" t="s">
        <v>114</v>
      </c>
      <c r="T17" s="30">
        <f t="shared" si="3"/>
        <v>22.22222222</v>
      </c>
      <c r="U17" s="24" t="s">
        <v>117</v>
      </c>
    </row>
    <row r="18">
      <c r="A18" s="24">
        <v>13.0</v>
      </c>
      <c r="B18" s="24" t="s">
        <v>251</v>
      </c>
      <c r="C18" s="24" t="s">
        <v>111</v>
      </c>
      <c r="D18" s="24">
        <v>7.0</v>
      </c>
      <c r="E18" s="25" t="s">
        <v>95</v>
      </c>
      <c r="F18" s="25" t="s">
        <v>100</v>
      </c>
      <c r="G18" s="31"/>
      <c r="H18" s="31"/>
      <c r="I18" s="25" t="s">
        <v>95</v>
      </c>
      <c r="J18" s="25" t="s">
        <v>95</v>
      </c>
      <c r="K18" s="25" t="s">
        <v>100</v>
      </c>
      <c r="L18" s="25" t="s">
        <v>100</v>
      </c>
      <c r="M18" s="31"/>
      <c r="N18" s="25" t="s">
        <v>100</v>
      </c>
      <c r="O18" s="32"/>
      <c r="P18" s="25" t="s">
        <v>100</v>
      </c>
      <c r="Q18" s="25" t="s">
        <v>100</v>
      </c>
      <c r="R18" s="29"/>
      <c r="S18" s="24" t="s">
        <v>114</v>
      </c>
      <c r="T18" s="30">
        <f t="shared" si="3"/>
        <v>33.33333333</v>
      </c>
      <c r="U18" s="24" t="s">
        <v>117</v>
      </c>
    </row>
    <row r="19">
      <c r="A19" s="24">
        <v>14.0</v>
      </c>
      <c r="B19" s="24" t="s">
        <v>258</v>
      </c>
      <c r="C19" s="24" t="s">
        <v>93</v>
      </c>
      <c r="D19" s="24">
        <v>8.0</v>
      </c>
      <c r="E19" s="25" t="s">
        <v>95</v>
      </c>
      <c r="F19" s="25" t="s">
        <v>95</v>
      </c>
      <c r="G19" s="31"/>
      <c r="H19" s="31"/>
      <c r="I19" s="25" t="s">
        <v>100</v>
      </c>
      <c r="J19" s="25" t="s">
        <v>100</v>
      </c>
      <c r="K19" s="25" t="s">
        <v>100</v>
      </c>
      <c r="L19" s="25" t="s">
        <v>100</v>
      </c>
      <c r="M19" s="31"/>
      <c r="N19" s="25" t="s">
        <v>100</v>
      </c>
      <c r="O19" s="32"/>
      <c r="P19" s="25" t="s">
        <v>100</v>
      </c>
      <c r="Q19" s="25" t="s">
        <v>100</v>
      </c>
      <c r="R19" s="29"/>
      <c r="S19" s="24" t="s">
        <v>114</v>
      </c>
      <c r="T19" s="30">
        <f t="shared" si="3"/>
        <v>22.22222222</v>
      </c>
      <c r="U19" s="24" t="s">
        <v>117</v>
      </c>
    </row>
    <row r="20">
      <c r="A20" s="24">
        <v>15.0</v>
      </c>
      <c r="B20" s="24" t="s">
        <v>264</v>
      </c>
      <c r="C20" s="24" t="s">
        <v>265</v>
      </c>
      <c r="D20" s="24">
        <v>8.0</v>
      </c>
      <c r="E20" s="25" t="s">
        <v>95</v>
      </c>
      <c r="F20" s="25" t="s">
        <v>95</v>
      </c>
      <c r="G20" s="31"/>
      <c r="H20" s="31"/>
      <c r="I20" s="25" t="s">
        <v>100</v>
      </c>
      <c r="J20" s="25" t="s">
        <v>95</v>
      </c>
      <c r="K20" s="25" t="s">
        <v>95</v>
      </c>
      <c r="L20" s="25" t="s">
        <v>100</v>
      </c>
      <c r="M20" s="31"/>
      <c r="N20" s="25" t="s">
        <v>100</v>
      </c>
      <c r="O20" s="32"/>
      <c r="P20" s="25" t="s">
        <v>100</v>
      </c>
      <c r="Q20" s="25" t="s">
        <v>100</v>
      </c>
      <c r="R20" s="29"/>
      <c r="S20" s="24" t="s">
        <v>114</v>
      </c>
      <c r="T20" s="30">
        <f t="shared" si="3"/>
        <v>44.44444444</v>
      </c>
      <c r="U20" s="24" t="s">
        <v>117</v>
      </c>
    </row>
    <row r="21">
      <c r="A21" s="24">
        <v>16.0</v>
      </c>
      <c r="B21" s="24" t="s">
        <v>258</v>
      </c>
      <c r="C21" s="24" t="s">
        <v>273</v>
      </c>
      <c r="D21" s="24">
        <v>8.0</v>
      </c>
      <c r="E21" s="25" t="s">
        <v>95</v>
      </c>
      <c r="F21" s="25" t="s">
        <v>95</v>
      </c>
      <c r="G21" s="31"/>
      <c r="H21" s="31"/>
      <c r="I21" s="25" t="s">
        <v>95</v>
      </c>
      <c r="J21" s="25" t="s">
        <v>95</v>
      </c>
      <c r="K21" s="25" t="s">
        <v>95</v>
      </c>
      <c r="L21" s="25" t="s">
        <v>95</v>
      </c>
      <c r="M21" s="31"/>
      <c r="N21" s="25" t="s">
        <v>95</v>
      </c>
      <c r="O21" s="32" t="s">
        <v>95</v>
      </c>
      <c r="P21" s="25" t="s">
        <v>95</v>
      </c>
      <c r="Q21" s="25" t="s">
        <v>95</v>
      </c>
      <c r="R21" s="29"/>
      <c r="S21" s="24" t="s">
        <v>114</v>
      </c>
      <c r="T21" s="30">
        <f t="shared" si="3"/>
        <v>100</v>
      </c>
      <c r="U21" s="24" t="s">
        <v>117</v>
      </c>
    </row>
    <row r="22">
      <c r="A22" s="24">
        <v>17.0</v>
      </c>
      <c r="B22" s="24" t="s">
        <v>281</v>
      </c>
      <c r="C22" s="24" t="s">
        <v>282</v>
      </c>
      <c r="D22" s="24">
        <v>8.0</v>
      </c>
      <c r="E22" s="25" t="s">
        <v>95</v>
      </c>
      <c r="F22" s="25" t="s">
        <v>95</v>
      </c>
      <c r="G22" s="31"/>
      <c r="H22" s="31"/>
      <c r="I22" s="25" t="s">
        <v>100</v>
      </c>
      <c r="J22" s="25" t="s">
        <v>100</v>
      </c>
      <c r="K22" s="25" t="s">
        <v>100</v>
      </c>
      <c r="L22" s="25" t="s">
        <v>100</v>
      </c>
      <c r="M22" s="31"/>
      <c r="N22" s="25" t="s">
        <v>100</v>
      </c>
      <c r="O22" s="32"/>
      <c r="P22" s="25" t="s">
        <v>100</v>
      </c>
      <c r="Q22" s="25" t="s">
        <v>100</v>
      </c>
      <c r="R22" s="29"/>
      <c r="S22" s="24" t="s">
        <v>114</v>
      </c>
      <c r="T22" s="30">
        <f t="shared" si="3"/>
        <v>22.22222222</v>
      </c>
      <c r="U22" s="24" t="s">
        <v>117</v>
      </c>
    </row>
    <row r="23">
      <c r="A23" s="24">
        <v>18.0</v>
      </c>
      <c r="B23" s="24" t="s">
        <v>290</v>
      </c>
      <c r="C23" s="24" t="s">
        <v>292</v>
      </c>
      <c r="D23" s="24">
        <v>8.0</v>
      </c>
      <c r="E23" s="25" t="s">
        <v>95</v>
      </c>
      <c r="F23" s="25" t="s">
        <v>95</v>
      </c>
      <c r="G23" s="31"/>
      <c r="H23" s="31"/>
      <c r="I23" s="25" t="s">
        <v>100</v>
      </c>
      <c r="J23" s="25" t="s">
        <v>100</v>
      </c>
      <c r="K23" s="25" t="s">
        <v>100</v>
      </c>
      <c r="L23" s="25" t="s">
        <v>100</v>
      </c>
      <c r="M23" s="31"/>
      <c r="N23" s="25" t="s">
        <v>100</v>
      </c>
      <c r="O23" s="32"/>
      <c r="P23" s="25" t="s">
        <v>100</v>
      </c>
      <c r="Q23" s="25" t="s">
        <v>100</v>
      </c>
      <c r="R23" s="29"/>
      <c r="S23" s="24" t="s">
        <v>114</v>
      </c>
      <c r="T23" s="30">
        <f t="shared" si="3"/>
        <v>22.22222222</v>
      </c>
      <c r="U23" s="24" t="s">
        <v>117</v>
      </c>
    </row>
    <row r="24">
      <c r="A24" s="24">
        <v>19.0</v>
      </c>
      <c r="B24" s="24" t="s">
        <v>296</v>
      </c>
      <c r="C24" s="24" t="s">
        <v>299</v>
      </c>
      <c r="D24" s="24">
        <v>8.0</v>
      </c>
      <c r="E24" s="25" t="s">
        <v>95</v>
      </c>
      <c r="F24" s="25" t="s">
        <v>95</v>
      </c>
      <c r="G24" s="31"/>
      <c r="H24" s="31"/>
      <c r="I24" s="25" t="s">
        <v>100</v>
      </c>
      <c r="J24" s="25" t="s">
        <v>100</v>
      </c>
      <c r="K24" s="25" t="s">
        <v>100</v>
      </c>
      <c r="L24" s="25" t="s">
        <v>100</v>
      </c>
      <c r="M24" s="31"/>
      <c r="N24" s="25" t="s">
        <v>100</v>
      </c>
      <c r="O24" s="32"/>
      <c r="P24" s="25" t="s">
        <v>100</v>
      </c>
      <c r="Q24" s="25" t="s">
        <v>100</v>
      </c>
      <c r="R24" s="29"/>
      <c r="S24" s="24" t="s">
        <v>114</v>
      </c>
      <c r="T24" s="30">
        <f t="shared" si="3"/>
        <v>22.22222222</v>
      </c>
      <c r="U24" s="24" t="s">
        <v>117</v>
      </c>
    </row>
    <row r="25">
      <c r="A25" s="24">
        <v>20.0</v>
      </c>
      <c r="B25" s="24" t="s">
        <v>310</v>
      </c>
      <c r="C25" s="24" t="s">
        <v>312</v>
      </c>
      <c r="D25" s="24">
        <v>8.0</v>
      </c>
      <c r="E25" s="25" t="s">
        <v>95</v>
      </c>
      <c r="F25" s="25" t="s">
        <v>95</v>
      </c>
      <c r="G25" s="31"/>
      <c r="H25" s="31"/>
      <c r="I25" s="25" t="s">
        <v>95</v>
      </c>
      <c r="J25" s="25" t="s">
        <v>95</v>
      </c>
      <c r="K25" s="25" t="s">
        <v>95</v>
      </c>
      <c r="L25" s="25" t="s">
        <v>100</v>
      </c>
      <c r="M25" s="31"/>
      <c r="N25" s="25" t="s">
        <v>100</v>
      </c>
      <c r="O25" s="32"/>
      <c r="P25" s="25" t="s">
        <v>95</v>
      </c>
      <c r="Q25" s="25" t="s">
        <v>100</v>
      </c>
      <c r="R25" s="29"/>
      <c r="S25" s="24" t="s">
        <v>114</v>
      </c>
      <c r="T25" s="30">
        <f t="shared" si="3"/>
        <v>66.66666667</v>
      </c>
      <c r="U25" s="24" t="s">
        <v>117</v>
      </c>
    </row>
    <row r="26">
      <c r="A26" s="24">
        <v>21.0</v>
      </c>
      <c r="B26" s="24" t="s">
        <v>317</v>
      </c>
      <c r="C26" s="24" t="s">
        <v>319</v>
      </c>
      <c r="D26" s="24">
        <v>8.0</v>
      </c>
      <c r="E26" s="25" t="s">
        <v>95</v>
      </c>
      <c r="F26" s="25" t="s">
        <v>95</v>
      </c>
      <c r="G26" s="31"/>
      <c r="H26" s="31"/>
      <c r="I26" s="25" t="s">
        <v>95</v>
      </c>
      <c r="J26" s="25" t="s">
        <v>95</v>
      </c>
      <c r="K26" s="25" t="s">
        <v>95</v>
      </c>
      <c r="L26" s="25" t="s">
        <v>95</v>
      </c>
      <c r="M26" s="31"/>
      <c r="N26" s="25" t="s">
        <v>95</v>
      </c>
      <c r="O26" s="32"/>
      <c r="P26" s="25" t="s">
        <v>95</v>
      </c>
      <c r="Q26" s="25" t="s">
        <v>100</v>
      </c>
      <c r="R26" s="29"/>
      <c r="S26" s="24" t="s">
        <v>114</v>
      </c>
      <c r="T26" s="30">
        <f t="shared" si="3"/>
        <v>88.88888889</v>
      </c>
      <c r="U26" s="24" t="s">
        <v>117</v>
      </c>
    </row>
    <row r="27">
      <c r="A27" s="24">
        <v>22.0</v>
      </c>
      <c r="B27" s="24" t="s">
        <v>248</v>
      </c>
      <c r="C27" s="24" t="s">
        <v>327</v>
      </c>
      <c r="D27" s="24">
        <v>8.0</v>
      </c>
      <c r="E27" s="25" t="s">
        <v>95</v>
      </c>
      <c r="F27" s="25" t="s">
        <v>95</v>
      </c>
      <c r="G27" s="31"/>
      <c r="H27" s="31"/>
      <c r="I27" s="25" t="s">
        <v>95</v>
      </c>
      <c r="J27" s="25" t="s">
        <v>95</v>
      </c>
      <c r="K27" s="25" t="s">
        <v>100</v>
      </c>
      <c r="L27" s="25" t="s">
        <v>100</v>
      </c>
      <c r="M27" s="31"/>
      <c r="N27" s="25" t="s">
        <v>100</v>
      </c>
      <c r="O27" s="32"/>
      <c r="P27" s="25" t="s">
        <v>95</v>
      </c>
      <c r="Q27" s="25" t="s">
        <v>100</v>
      </c>
      <c r="R27" s="29"/>
      <c r="S27" s="24" t="s">
        <v>114</v>
      </c>
      <c r="T27" s="30">
        <f t="shared" si="3"/>
        <v>55.55555556</v>
      </c>
      <c r="U27" s="24" t="s">
        <v>117</v>
      </c>
    </row>
    <row r="28">
      <c r="A28" s="24">
        <v>23.0</v>
      </c>
      <c r="B28" s="24" t="s">
        <v>334</v>
      </c>
      <c r="C28" s="24" t="s">
        <v>335</v>
      </c>
      <c r="D28" s="24">
        <v>8.0</v>
      </c>
      <c r="E28" s="25" t="s">
        <v>95</v>
      </c>
      <c r="F28" s="25" t="s">
        <v>95</v>
      </c>
      <c r="G28" s="31"/>
      <c r="H28" s="31"/>
      <c r="I28" s="25" t="s">
        <v>100</v>
      </c>
      <c r="J28" s="25" t="s">
        <v>100</v>
      </c>
      <c r="K28" s="25" t="s">
        <v>100</v>
      </c>
      <c r="L28" s="25" t="s">
        <v>95</v>
      </c>
      <c r="M28" s="31"/>
      <c r="N28" s="25" t="s">
        <v>100</v>
      </c>
      <c r="O28" s="32"/>
      <c r="P28" s="25" t="s">
        <v>100</v>
      </c>
      <c r="Q28" s="25" t="s">
        <v>95</v>
      </c>
      <c r="R28" s="29"/>
      <c r="S28" s="24" t="s">
        <v>114</v>
      </c>
      <c r="T28" s="30">
        <f t="shared" si="3"/>
        <v>44.44444444</v>
      </c>
      <c r="U28" s="24" t="s">
        <v>117</v>
      </c>
    </row>
    <row r="29">
      <c r="A29" s="24">
        <v>24.0</v>
      </c>
      <c r="B29" s="24" t="s">
        <v>343</v>
      </c>
      <c r="C29" s="24" t="s">
        <v>344</v>
      </c>
      <c r="D29" s="24">
        <v>8.0</v>
      </c>
      <c r="E29" s="25" t="s">
        <v>95</v>
      </c>
      <c r="F29" s="25" t="s">
        <v>95</v>
      </c>
      <c r="G29" s="31"/>
      <c r="H29" s="31"/>
      <c r="I29" s="25" t="s">
        <v>100</v>
      </c>
      <c r="J29" s="25" t="s">
        <v>95</v>
      </c>
      <c r="K29" s="25" t="s">
        <v>95</v>
      </c>
      <c r="L29" s="25" t="s">
        <v>95</v>
      </c>
      <c r="M29" s="31"/>
      <c r="N29" s="25" t="s">
        <v>95</v>
      </c>
      <c r="O29" s="32" t="s">
        <v>95</v>
      </c>
      <c r="P29" s="25" t="s">
        <v>100</v>
      </c>
      <c r="Q29" s="25" t="s">
        <v>100</v>
      </c>
      <c r="R29" s="29"/>
      <c r="S29" s="24" t="s">
        <v>114</v>
      </c>
      <c r="T29" s="30">
        <f t="shared" si="3"/>
        <v>70</v>
      </c>
      <c r="U29" s="24" t="s">
        <v>117</v>
      </c>
    </row>
    <row r="30">
      <c r="A30" s="24">
        <v>25.0</v>
      </c>
      <c r="B30" s="24" t="s">
        <v>348</v>
      </c>
      <c r="C30" s="24" t="s">
        <v>350</v>
      </c>
      <c r="D30" s="24">
        <v>8.0</v>
      </c>
      <c r="E30" s="25" t="s">
        <v>95</v>
      </c>
      <c r="F30" s="25" t="s">
        <v>95</v>
      </c>
      <c r="G30" s="31"/>
      <c r="H30" s="31"/>
      <c r="I30" s="25" t="s">
        <v>95</v>
      </c>
      <c r="J30" s="25" t="s">
        <v>100</v>
      </c>
      <c r="K30" s="25" t="s">
        <v>95</v>
      </c>
      <c r="L30" s="25" t="s">
        <v>95</v>
      </c>
      <c r="M30" s="31"/>
      <c r="N30" s="25" t="s">
        <v>100</v>
      </c>
      <c r="O30" s="32"/>
      <c r="P30" s="25" t="s">
        <v>95</v>
      </c>
      <c r="Q30" s="25" t="s">
        <v>95</v>
      </c>
      <c r="R30" s="29"/>
      <c r="S30" s="24" t="s">
        <v>114</v>
      </c>
      <c r="T30" s="30">
        <f t="shared" si="3"/>
        <v>77.77777778</v>
      </c>
      <c r="U30" s="24" t="s">
        <v>117</v>
      </c>
    </row>
    <row r="31">
      <c r="A31" s="24">
        <v>26.0</v>
      </c>
      <c r="B31" s="24" t="s">
        <v>357</v>
      </c>
      <c r="C31" s="24" t="s">
        <v>359</v>
      </c>
      <c r="D31" s="24">
        <v>8.0</v>
      </c>
      <c r="E31" s="25" t="s">
        <v>95</v>
      </c>
      <c r="F31" s="25" t="s">
        <v>95</v>
      </c>
      <c r="G31" s="31"/>
      <c r="H31" s="31"/>
      <c r="I31" s="25" t="s">
        <v>95</v>
      </c>
      <c r="J31" s="25" t="s">
        <v>95</v>
      </c>
      <c r="K31" s="25" t="s">
        <v>100</v>
      </c>
      <c r="L31" s="25" t="s">
        <v>95</v>
      </c>
      <c r="M31" s="31"/>
      <c r="N31" s="25" t="s">
        <v>95</v>
      </c>
      <c r="O31" s="32"/>
      <c r="P31" s="25" t="s">
        <v>100</v>
      </c>
      <c r="Q31" s="25" t="s">
        <v>100</v>
      </c>
      <c r="R31" s="29"/>
      <c r="S31" s="24" t="s">
        <v>114</v>
      </c>
      <c r="T31" s="30">
        <f t="shared" si="3"/>
        <v>66.66666667</v>
      </c>
      <c r="U31" s="24" t="s">
        <v>117</v>
      </c>
    </row>
    <row r="32">
      <c r="A32" s="24">
        <v>27.0</v>
      </c>
      <c r="B32" s="24" t="s">
        <v>367</v>
      </c>
      <c r="C32" s="24" t="s">
        <v>368</v>
      </c>
      <c r="D32" s="24">
        <v>8.0</v>
      </c>
      <c r="E32" s="25" t="s">
        <v>95</v>
      </c>
      <c r="F32" s="25" t="s">
        <v>95</v>
      </c>
      <c r="G32" s="31"/>
      <c r="H32" s="31"/>
      <c r="I32" s="25" t="s">
        <v>95</v>
      </c>
      <c r="J32" s="25" t="s">
        <v>95</v>
      </c>
      <c r="K32" s="25" t="s">
        <v>100</v>
      </c>
      <c r="L32" s="25" t="s">
        <v>95</v>
      </c>
      <c r="M32" s="31"/>
      <c r="N32" s="25" t="s">
        <v>95</v>
      </c>
      <c r="O32" s="32"/>
      <c r="P32" s="25" t="s">
        <v>95</v>
      </c>
      <c r="Q32" s="25" t="s">
        <v>100</v>
      </c>
      <c r="R32" s="29"/>
      <c r="S32" s="24" t="s">
        <v>114</v>
      </c>
      <c r="T32" s="30">
        <f t="shared" si="3"/>
        <v>77.77777778</v>
      </c>
      <c r="U32" s="24" t="s">
        <v>117</v>
      </c>
    </row>
    <row r="33">
      <c r="A33" s="24">
        <v>28.0</v>
      </c>
      <c r="B33" s="24" t="s">
        <v>375</v>
      </c>
      <c r="C33" s="24" t="s">
        <v>376</v>
      </c>
      <c r="D33" s="24">
        <v>8.0</v>
      </c>
      <c r="E33" s="25" t="s">
        <v>95</v>
      </c>
      <c r="F33" s="25" t="s">
        <v>95</v>
      </c>
      <c r="G33" s="31"/>
      <c r="H33" s="31"/>
      <c r="I33" s="25" t="s">
        <v>95</v>
      </c>
      <c r="J33" s="25" t="s">
        <v>95</v>
      </c>
      <c r="K33" s="25" t="s">
        <v>95</v>
      </c>
      <c r="L33" s="25" t="s">
        <v>95</v>
      </c>
      <c r="M33" s="31"/>
      <c r="N33" s="25" t="s">
        <v>100</v>
      </c>
      <c r="O33" s="32"/>
      <c r="P33" s="25" t="s">
        <v>100</v>
      </c>
      <c r="Q33" s="25" t="s">
        <v>95</v>
      </c>
      <c r="R33" s="29"/>
      <c r="S33" s="24" t="s">
        <v>114</v>
      </c>
      <c r="T33" s="30">
        <f t="shared" si="3"/>
        <v>77.77777778</v>
      </c>
      <c r="U33" s="24" t="s">
        <v>117</v>
      </c>
    </row>
    <row r="34">
      <c r="A34" s="24">
        <v>29.0</v>
      </c>
      <c r="B34" s="24" t="s">
        <v>385</v>
      </c>
      <c r="C34" s="24" t="s">
        <v>387</v>
      </c>
      <c r="D34" s="24">
        <v>8.0</v>
      </c>
      <c r="E34" s="25" t="s">
        <v>95</v>
      </c>
      <c r="F34" s="25" t="s">
        <v>100</v>
      </c>
      <c r="G34" s="31"/>
      <c r="H34" s="31"/>
      <c r="I34" s="25" t="s">
        <v>100</v>
      </c>
      <c r="J34" s="25" t="s">
        <v>100</v>
      </c>
      <c r="K34" s="25" t="s">
        <v>100</v>
      </c>
      <c r="L34" s="25" t="s">
        <v>100</v>
      </c>
      <c r="M34" s="31"/>
      <c r="N34" s="25" t="s">
        <v>100</v>
      </c>
      <c r="O34" s="32"/>
      <c r="P34" s="25" t="s">
        <v>100</v>
      </c>
      <c r="Q34" s="25" t="s">
        <v>100</v>
      </c>
      <c r="R34" s="29"/>
      <c r="S34" s="24" t="s">
        <v>114</v>
      </c>
      <c r="T34" s="30">
        <f t="shared" si="3"/>
        <v>11.11111111</v>
      </c>
      <c r="U34" s="24" t="s">
        <v>117</v>
      </c>
    </row>
    <row r="35">
      <c r="A35" s="24">
        <v>30.0</v>
      </c>
      <c r="B35" s="24" t="s">
        <v>393</v>
      </c>
      <c r="C35" s="24" t="s">
        <v>394</v>
      </c>
      <c r="D35" s="24">
        <v>8.0</v>
      </c>
      <c r="E35" s="25" t="s">
        <v>95</v>
      </c>
      <c r="F35" s="25" t="s">
        <v>95</v>
      </c>
      <c r="G35" s="31"/>
      <c r="H35" s="31"/>
      <c r="I35" s="25" t="s">
        <v>95</v>
      </c>
      <c r="J35" s="25" t="s">
        <v>95</v>
      </c>
      <c r="K35" s="25" t="s">
        <v>100</v>
      </c>
      <c r="L35" s="25" t="s">
        <v>100</v>
      </c>
      <c r="M35" s="31"/>
      <c r="N35" s="25" t="s">
        <v>100</v>
      </c>
      <c r="O35" s="32"/>
      <c r="P35" s="25" t="s">
        <v>100</v>
      </c>
      <c r="Q35" s="25" t="s">
        <v>100</v>
      </c>
      <c r="R35" s="29"/>
      <c r="S35" s="24" t="s">
        <v>114</v>
      </c>
      <c r="T35" s="30">
        <f t="shared" si="3"/>
        <v>44.44444444</v>
      </c>
      <c r="U35" s="24" t="s">
        <v>117</v>
      </c>
    </row>
    <row r="36">
      <c r="A36" s="24">
        <v>31.0</v>
      </c>
      <c r="B36" s="24" t="s">
        <v>402</v>
      </c>
      <c r="C36" s="24" t="s">
        <v>251</v>
      </c>
      <c r="D36" s="24">
        <v>9.0</v>
      </c>
      <c r="E36" s="25" t="s">
        <v>95</v>
      </c>
      <c r="F36" s="25" t="s">
        <v>95</v>
      </c>
      <c r="G36" s="31"/>
      <c r="H36" s="31"/>
      <c r="I36" s="25" t="s">
        <v>95</v>
      </c>
      <c r="J36" s="25" t="s">
        <v>95</v>
      </c>
      <c r="K36" s="25" t="s">
        <v>95</v>
      </c>
      <c r="L36" s="25" t="s">
        <v>95</v>
      </c>
      <c r="M36" s="31"/>
      <c r="N36" s="25" t="s">
        <v>95</v>
      </c>
      <c r="O36" s="32" t="s">
        <v>95</v>
      </c>
      <c r="P36" s="25" t="s">
        <v>95</v>
      </c>
      <c r="Q36" s="25" t="s">
        <v>95</v>
      </c>
      <c r="R36" s="29"/>
      <c r="S36" s="24" t="s">
        <v>114</v>
      </c>
      <c r="T36" s="30">
        <f t="shared" si="3"/>
        <v>100</v>
      </c>
      <c r="U36" s="24" t="s">
        <v>117</v>
      </c>
    </row>
    <row r="37">
      <c r="A37" s="24">
        <v>32.0</v>
      </c>
      <c r="B37" s="24" t="s">
        <v>407</v>
      </c>
      <c r="C37" s="24" t="s">
        <v>282</v>
      </c>
      <c r="D37" s="24">
        <v>9.0</v>
      </c>
      <c r="E37" s="25" t="s">
        <v>95</v>
      </c>
      <c r="F37" s="25" t="s">
        <v>95</v>
      </c>
      <c r="G37" s="31"/>
      <c r="H37" s="31"/>
      <c r="I37" s="25" t="s">
        <v>100</v>
      </c>
      <c r="J37" s="25" t="s">
        <v>100</v>
      </c>
      <c r="K37" s="25" t="s">
        <v>100</v>
      </c>
      <c r="L37" s="25" t="s">
        <v>100</v>
      </c>
      <c r="M37" s="31"/>
      <c r="N37" s="25" t="s">
        <v>100</v>
      </c>
      <c r="O37" s="32"/>
      <c r="P37" s="25" t="s">
        <v>100</v>
      </c>
      <c r="Q37" s="25" t="s">
        <v>100</v>
      </c>
      <c r="R37" s="29"/>
      <c r="S37" s="24" t="s">
        <v>114</v>
      </c>
      <c r="T37" s="30">
        <f t="shared" si="3"/>
        <v>22.22222222</v>
      </c>
      <c r="U37" s="24" t="s">
        <v>117</v>
      </c>
    </row>
    <row r="38">
      <c r="A38" s="24">
        <v>33.0</v>
      </c>
      <c r="B38" s="24" t="s">
        <v>416</v>
      </c>
      <c r="C38" s="24" t="s">
        <v>417</v>
      </c>
      <c r="D38" s="24">
        <v>9.0</v>
      </c>
      <c r="E38" s="25" t="s">
        <v>95</v>
      </c>
      <c r="F38" s="25" t="s">
        <v>95</v>
      </c>
      <c r="G38" s="31"/>
      <c r="H38" s="31"/>
      <c r="I38" s="25" t="s">
        <v>95</v>
      </c>
      <c r="J38" s="25" t="s">
        <v>95</v>
      </c>
      <c r="K38" s="25" t="s">
        <v>95</v>
      </c>
      <c r="L38" s="25" t="s">
        <v>95</v>
      </c>
      <c r="M38" s="31"/>
      <c r="N38" s="25" t="s">
        <v>95</v>
      </c>
      <c r="O38" s="32" t="s">
        <v>95</v>
      </c>
      <c r="P38" s="25" t="s">
        <v>95</v>
      </c>
      <c r="Q38" s="25" t="s">
        <v>95</v>
      </c>
      <c r="R38" s="29"/>
      <c r="S38" s="24" t="s">
        <v>114</v>
      </c>
      <c r="T38" s="30">
        <f t="shared" si="3"/>
        <v>100</v>
      </c>
      <c r="U38" s="24" t="s">
        <v>117</v>
      </c>
    </row>
    <row r="39">
      <c r="A39" s="24">
        <v>34.0</v>
      </c>
      <c r="B39" s="24" t="s">
        <v>425</v>
      </c>
      <c r="C39" s="24" t="s">
        <v>426</v>
      </c>
      <c r="D39" s="24">
        <v>9.0</v>
      </c>
      <c r="E39" s="25" t="s">
        <v>95</v>
      </c>
      <c r="F39" s="25" t="s">
        <v>95</v>
      </c>
      <c r="G39" s="31"/>
      <c r="H39" s="31"/>
      <c r="I39" s="25" t="s">
        <v>95</v>
      </c>
      <c r="J39" s="25" t="s">
        <v>95</v>
      </c>
      <c r="K39" s="25" t="s">
        <v>95</v>
      </c>
      <c r="L39" s="25" t="s">
        <v>100</v>
      </c>
      <c r="M39" s="31"/>
      <c r="N39" s="25" t="s">
        <v>100</v>
      </c>
      <c r="O39" s="32"/>
      <c r="P39" s="25" t="s">
        <v>100</v>
      </c>
      <c r="Q39" s="25" t="s">
        <v>100</v>
      </c>
      <c r="R39" s="29"/>
      <c r="S39" s="24" t="s">
        <v>114</v>
      </c>
      <c r="T39" s="30">
        <f t="shared" si="3"/>
        <v>55.55555556</v>
      </c>
      <c r="U39" s="24" t="s">
        <v>117</v>
      </c>
    </row>
    <row r="40">
      <c r="A40" s="24">
        <v>35.0</v>
      </c>
      <c r="B40" s="24" t="s">
        <v>433</v>
      </c>
      <c r="C40" s="24" t="s">
        <v>188</v>
      </c>
      <c r="D40" s="24">
        <v>9.0</v>
      </c>
      <c r="E40" s="25" t="s">
        <v>95</v>
      </c>
      <c r="F40" s="25" t="s">
        <v>95</v>
      </c>
      <c r="G40" s="31"/>
      <c r="H40" s="31"/>
      <c r="I40" s="25" t="s">
        <v>95</v>
      </c>
      <c r="J40" s="25" t="s">
        <v>95</v>
      </c>
      <c r="K40" s="25" t="s">
        <v>100</v>
      </c>
      <c r="L40" s="25" t="s">
        <v>100</v>
      </c>
      <c r="M40" s="31"/>
      <c r="N40" s="25" t="s">
        <v>100</v>
      </c>
      <c r="O40" s="32"/>
      <c r="P40" s="25" t="s">
        <v>100</v>
      </c>
      <c r="Q40" s="25" t="s">
        <v>95</v>
      </c>
      <c r="R40" s="29"/>
      <c r="S40" s="24" t="s">
        <v>114</v>
      </c>
      <c r="T40" s="30">
        <f t="shared" si="3"/>
        <v>55.55555556</v>
      </c>
      <c r="U40" s="24" t="s">
        <v>117</v>
      </c>
    </row>
    <row r="41">
      <c r="A41" s="24">
        <v>36.0</v>
      </c>
      <c r="B41" s="24" t="s">
        <v>445</v>
      </c>
      <c r="C41" s="24" t="s">
        <v>447</v>
      </c>
      <c r="D41" s="24">
        <v>9.0</v>
      </c>
      <c r="E41" s="25" t="s">
        <v>95</v>
      </c>
      <c r="F41" s="25" t="s">
        <v>95</v>
      </c>
      <c r="G41" s="31"/>
      <c r="H41" s="31"/>
      <c r="I41" s="25" t="s">
        <v>100</v>
      </c>
      <c r="J41" s="25" t="s">
        <v>95</v>
      </c>
      <c r="K41" s="25" t="s">
        <v>95</v>
      </c>
      <c r="L41" s="25" t="s">
        <v>95</v>
      </c>
      <c r="M41" s="31"/>
      <c r="N41" s="25" t="s">
        <v>95</v>
      </c>
      <c r="O41" s="32"/>
      <c r="P41" s="25" t="s">
        <v>95</v>
      </c>
      <c r="Q41" s="25" t="s">
        <v>100</v>
      </c>
      <c r="R41" s="29"/>
      <c r="S41" s="24" t="s">
        <v>114</v>
      </c>
      <c r="T41" s="30">
        <f t="shared" si="3"/>
        <v>77.77777778</v>
      </c>
      <c r="U41" s="24" t="s">
        <v>117</v>
      </c>
    </row>
    <row r="42">
      <c r="A42" s="24">
        <v>37.0</v>
      </c>
      <c r="B42" s="24" t="s">
        <v>453</v>
      </c>
      <c r="C42" s="24" t="s">
        <v>454</v>
      </c>
      <c r="D42" s="24">
        <v>10.0</v>
      </c>
      <c r="E42" s="25" t="s">
        <v>95</v>
      </c>
      <c r="F42" s="25" t="s">
        <v>95</v>
      </c>
      <c r="G42" s="31"/>
      <c r="H42" s="31"/>
      <c r="I42" s="25" t="s">
        <v>100</v>
      </c>
      <c r="J42" s="25" t="s">
        <v>95</v>
      </c>
      <c r="K42" s="25" t="s">
        <v>95</v>
      </c>
      <c r="L42" s="25" t="s">
        <v>95</v>
      </c>
      <c r="M42" s="31"/>
      <c r="N42" s="25" t="s">
        <v>95</v>
      </c>
      <c r="O42" s="32"/>
      <c r="P42" s="25" t="s">
        <v>95</v>
      </c>
      <c r="Q42" s="25" t="s">
        <v>95</v>
      </c>
      <c r="R42" s="29"/>
      <c r="S42" s="24" t="s">
        <v>114</v>
      </c>
      <c r="T42" s="30">
        <f t="shared" si="3"/>
        <v>88.88888889</v>
      </c>
      <c r="U42" s="24" t="s">
        <v>117</v>
      </c>
    </row>
    <row r="43">
      <c r="A43" s="24">
        <v>38.0</v>
      </c>
      <c r="B43" s="24" t="s">
        <v>272</v>
      </c>
      <c r="C43" s="24" t="s">
        <v>465</v>
      </c>
      <c r="D43" s="24">
        <v>10.0</v>
      </c>
      <c r="E43" s="25" t="s">
        <v>95</v>
      </c>
      <c r="F43" s="25" t="s">
        <v>95</v>
      </c>
      <c r="G43" s="31"/>
      <c r="H43" s="31"/>
      <c r="I43" s="25" t="s">
        <v>95</v>
      </c>
      <c r="J43" s="25" t="s">
        <v>95</v>
      </c>
      <c r="K43" s="25" t="s">
        <v>95</v>
      </c>
      <c r="L43" s="25" t="s">
        <v>95</v>
      </c>
      <c r="M43" s="31"/>
      <c r="N43" s="25" t="s">
        <v>95</v>
      </c>
      <c r="O43" s="32"/>
      <c r="P43" s="25" t="s">
        <v>95</v>
      </c>
      <c r="Q43" s="25" t="s">
        <v>100</v>
      </c>
      <c r="R43" s="29"/>
      <c r="S43" s="24" t="s">
        <v>114</v>
      </c>
      <c r="T43" s="30">
        <f t="shared" si="3"/>
        <v>88.88888889</v>
      </c>
      <c r="U43" s="24" t="s">
        <v>117</v>
      </c>
    </row>
    <row r="44">
      <c r="A44" s="24">
        <v>39.0</v>
      </c>
      <c r="B44" s="24" t="s">
        <v>470</v>
      </c>
      <c r="C44" s="24" t="s">
        <v>465</v>
      </c>
      <c r="D44" s="24">
        <v>10.0</v>
      </c>
      <c r="E44" s="25" t="s">
        <v>95</v>
      </c>
      <c r="F44" s="25" t="s">
        <v>95</v>
      </c>
      <c r="G44" s="31"/>
      <c r="H44" s="31"/>
      <c r="I44" s="25" t="s">
        <v>95</v>
      </c>
      <c r="J44" s="25" t="s">
        <v>95</v>
      </c>
      <c r="K44" s="25" t="s">
        <v>95</v>
      </c>
      <c r="L44" s="25" t="s">
        <v>95</v>
      </c>
      <c r="M44" s="31"/>
      <c r="N44" s="25" t="s">
        <v>100</v>
      </c>
      <c r="O44" s="32"/>
      <c r="P44" s="25" t="s">
        <v>95</v>
      </c>
      <c r="Q44" s="25" t="s">
        <v>100</v>
      </c>
      <c r="R44" s="29"/>
      <c r="S44" s="24" t="s">
        <v>114</v>
      </c>
      <c r="T44" s="30">
        <f t="shared" si="3"/>
        <v>77.77777778</v>
      </c>
      <c r="U44" s="24" t="s">
        <v>117</v>
      </c>
    </row>
    <row r="45">
      <c r="A45" s="24">
        <v>40.0</v>
      </c>
      <c r="B45" s="24" t="s">
        <v>477</v>
      </c>
      <c r="C45" s="24" t="s">
        <v>478</v>
      </c>
      <c r="D45" s="24">
        <v>7.0</v>
      </c>
      <c r="E45" s="25" t="s">
        <v>100</v>
      </c>
      <c r="F45" s="25" t="s">
        <v>95</v>
      </c>
      <c r="G45" s="31"/>
      <c r="H45" s="31"/>
      <c r="I45" s="25" t="s">
        <v>95</v>
      </c>
      <c r="J45" s="25" t="s">
        <v>100</v>
      </c>
      <c r="K45" s="25" t="s">
        <v>100</v>
      </c>
      <c r="L45" s="25" t="s">
        <v>100</v>
      </c>
      <c r="M45" s="31"/>
      <c r="N45" s="25" t="s">
        <v>100</v>
      </c>
      <c r="O45" s="32"/>
      <c r="P45" s="25" t="s">
        <v>100</v>
      </c>
      <c r="Q45" s="25" t="s">
        <v>95</v>
      </c>
      <c r="R45" s="29"/>
      <c r="S45" s="24" t="s">
        <v>114</v>
      </c>
      <c r="T45" s="30">
        <f t="shared" si="3"/>
        <v>33.33333333</v>
      </c>
      <c r="U45" s="24" t="s">
        <v>117</v>
      </c>
    </row>
    <row r="46">
      <c r="A46" s="24">
        <v>41.0</v>
      </c>
      <c r="B46" s="24" t="s">
        <v>484</v>
      </c>
      <c r="C46" s="24" t="s">
        <v>485</v>
      </c>
      <c r="D46" s="24">
        <v>7.0</v>
      </c>
      <c r="E46" s="25" t="s">
        <v>100</v>
      </c>
      <c r="F46" s="25" t="s">
        <v>95</v>
      </c>
      <c r="G46" s="31"/>
      <c r="H46" s="31"/>
      <c r="I46" s="25" t="s">
        <v>95</v>
      </c>
      <c r="J46" s="25" t="s">
        <v>100</v>
      </c>
      <c r="K46" s="25" t="s">
        <v>100</v>
      </c>
      <c r="L46" s="25" t="s">
        <v>100</v>
      </c>
      <c r="M46" s="31"/>
      <c r="N46" s="25" t="s">
        <v>100</v>
      </c>
      <c r="O46" s="32"/>
      <c r="P46" s="25" t="s">
        <v>100</v>
      </c>
      <c r="Q46" s="25" t="s">
        <v>100</v>
      </c>
      <c r="R46" s="29"/>
      <c r="S46" s="24" t="s">
        <v>114</v>
      </c>
      <c r="T46" s="30">
        <f t="shared" si="3"/>
        <v>22.22222222</v>
      </c>
      <c r="U46" s="24" t="s">
        <v>117</v>
      </c>
    </row>
    <row r="47">
      <c r="A47" s="24">
        <v>42.0</v>
      </c>
      <c r="B47" s="24" t="s">
        <v>495</v>
      </c>
      <c r="C47" s="24" t="s">
        <v>496</v>
      </c>
      <c r="D47" s="24">
        <v>9.0</v>
      </c>
      <c r="E47" s="25" t="s">
        <v>100</v>
      </c>
      <c r="F47" s="25" t="s">
        <v>95</v>
      </c>
      <c r="G47" s="31"/>
      <c r="H47" s="31"/>
      <c r="I47" s="25" t="s">
        <v>100</v>
      </c>
      <c r="J47" s="25" t="s">
        <v>100</v>
      </c>
      <c r="K47" s="25" t="s">
        <v>100</v>
      </c>
      <c r="L47" s="25" t="s">
        <v>100</v>
      </c>
      <c r="M47" s="31"/>
      <c r="N47" s="25" t="s">
        <v>100</v>
      </c>
      <c r="O47" s="32"/>
      <c r="P47" s="25" t="s">
        <v>100</v>
      </c>
      <c r="Q47" s="25" t="s">
        <v>100</v>
      </c>
      <c r="R47" s="29"/>
      <c r="S47" s="24" t="s">
        <v>114</v>
      </c>
      <c r="T47" s="30">
        <f t="shared" si="3"/>
        <v>11.11111111</v>
      </c>
      <c r="U47" s="24" t="s">
        <v>117</v>
      </c>
    </row>
    <row r="48">
      <c r="A48" s="24">
        <v>43.0</v>
      </c>
      <c r="B48" s="24" t="s">
        <v>508</v>
      </c>
      <c r="C48" s="24" t="s">
        <v>198</v>
      </c>
      <c r="D48" s="24">
        <v>6.0</v>
      </c>
      <c r="E48" s="25" t="s">
        <v>100</v>
      </c>
      <c r="F48" s="25" t="s">
        <v>95</v>
      </c>
      <c r="G48" s="31"/>
      <c r="H48" s="31"/>
      <c r="I48" s="25" t="s">
        <v>100</v>
      </c>
      <c r="J48" s="25" t="s">
        <v>100</v>
      </c>
      <c r="K48" s="25" t="s">
        <v>100</v>
      </c>
      <c r="L48" s="25" t="s">
        <v>100</v>
      </c>
      <c r="M48" s="31"/>
      <c r="N48" s="25" t="s">
        <v>100</v>
      </c>
      <c r="O48" s="32"/>
      <c r="P48" s="25" t="s">
        <v>100</v>
      </c>
      <c r="Q48" s="25" t="s">
        <v>100</v>
      </c>
      <c r="R48" s="29"/>
      <c r="S48" s="24" t="s">
        <v>114</v>
      </c>
      <c r="T48" s="30">
        <f t="shared" si="3"/>
        <v>11.11111111</v>
      </c>
      <c r="U48" s="24" t="s">
        <v>117</v>
      </c>
    </row>
    <row r="49">
      <c r="A49" s="24">
        <v>44.0</v>
      </c>
      <c r="B49" s="24" t="s">
        <v>514</v>
      </c>
      <c r="C49" s="24" t="s">
        <v>515</v>
      </c>
      <c r="D49" s="24">
        <v>9.0</v>
      </c>
      <c r="E49" s="25" t="s">
        <v>100</v>
      </c>
      <c r="F49" s="25" t="s">
        <v>95</v>
      </c>
      <c r="G49" s="31"/>
      <c r="H49" s="31"/>
      <c r="I49" s="25" t="s">
        <v>100</v>
      </c>
      <c r="J49" s="25" t="s">
        <v>100</v>
      </c>
      <c r="K49" s="25" t="s">
        <v>95</v>
      </c>
      <c r="L49" s="25" t="s">
        <v>100</v>
      </c>
      <c r="M49" s="31"/>
      <c r="N49" s="25" t="s">
        <v>100</v>
      </c>
      <c r="O49" s="32"/>
      <c r="P49" s="25" t="s">
        <v>100</v>
      </c>
      <c r="Q49" s="25" t="s">
        <v>100</v>
      </c>
      <c r="R49" s="29"/>
      <c r="S49" s="24" t="s">
        <v>114</v>
      </c>
      <c r="T49" s="30">
        <f t="shared" si="3"/>
        <v>22.22222222</v>
      </c>
      <c r="U49" s="24" t="s">
        <v>117</v>
      </c>
    </row>
    <row r="50">
      <c r="A50" s="24">
        <v>45.0</v>
      </c>
      <c r="B50" s="36" t="s">
        <v>522</v>
      </c>
      <c r="C50" s="24" t="s">
        <v>524</v>
      </c>
      <c r="D50" s="24">
        <v>8.0</v>
      </c>
      <c r="E50" s="25" t="s">
        <v>100</v>
      </c>
      <c r="F50" s="25" t="s">
        <v>95</v>
      </c>
      <c r="G50" s="31"/>
      <c r="H50" s="31"/>
      <c r="I50" s="25" t="s">
        <v>95</v>
      </c>
      <c r="J50" s="25" t="s">
        <v>95</v>
      </c>
      <c r="K50" s="25" t="s">
        <v>100</v>
      </c>
      <c r="L50" s="25" t="s">
        <v>95</v>
      </c>
      <c r="M50" s="31"/>
      <c r="N50" s="25" t="s">
        <v>100</v>
      </c>
      <c r="O50" s="32"/>
      <c r="P50" s="25" t="s">
        <v>100</v>
      </c>
      <c r="Q50" s="25" t="s">
        <v>100</v>
      </c>
      <c r="R50" s="29"/>
      <c r="S50" s="24" t="s">
        <v>114</v>
      </c>
      <c r="T50" s="30">
        <f t="shared" si="3"/>
        <v>44.44444444</v>
      </c>
      <c r="U50" s="24" t="s">
        <v>117</v>
      </c>
    </row>
    <row r="51">
      <c r="A51" s="24">
        <v>46.0</v>
      </c>
      <c r="B51" s="24" t="s">
        <v>534</v>
      </c>
      <c r="C51" s="24" t="s">
        <v>535</v>
      </c>
      <c r="D51" s="24">
        <v>8.0</v>
      </c>
      <c r="E51" s="25" t="s">
        <v>100</v>
      </c>
      <c r="F51" s="25" t="s">
        <v>95</v>
      </c>
      <c r="G51" s="31"/>
      <c r="H51" s="31"/>
      <c r="I51" s="25" t="s">
        <v>95</v>
      </c>
      <c r="J51" s="25" t="s">
        <v>95</v>
      </c>
      <c r="K51" s="25" t="s">
        <v>95</v>
      </c>
      <c r="L51" s="25" t="s">
        <v>95</v>
      </c>
      <c r="M51" s="31"/>
      <c r="N51" s="25" t="s">
        <v>95</v>
      </c>
      <c r="O51" s="32"/>
      <c r="P51" s="25" t="s">
        <v>100</v>
      </c>
      <c r="Q51" s="25" t="s">
        <v>100</v>
      </c>
      <c r="R51" s="29"/>
      <c r="S51" s="24" t="s">
        <v>114</v>
      </c>
      <c r="T51" s="30">
        <f t="shared" si="3"/>
        <v>66.66666667</v>
      </c>
      <c r="U51" s="24" t="s">
        <v>117</v>
      </c>
    </row>
    <row r="52">
      <c r="A52" s="24">
        <v>47.0</v>
      </c>
      <c r="B52" s="24" t="s">
        <v>541</v>
      </c>
      <c r="C52" s="24" t="s">
        <v>542</v>
      </c>
      <c r="D52" s="24">
        <v>7.0</v>
      </c>
      <c r="E52" s="25" t="s">
        <v>100</v>
      </c>
      <c r="F52" s="25" t="s">
        <v>95</v>
      </c>
      <c r="G52" s="31"/>
      <c r="H52" s="31"/>
      <c r="I52" s="25" t="s">
        <v>100</v>
      </c>
      <c r="J52" s="25" t="s">
        <v>100</v>
      </c>
      <c r="K52" s="25" t="s">
        <v>100</v>
      </c>
      <c r="L52" s="25" t="s">
        <v>100</v>
      </c>
      <c r="M52" s="31"/>
      <c r="N52" s="25" t="s">
        <v>100</v>
      </c>
      <c r="O52" s="32"/>
      <c r="P52" s="25" t="s">
        <v>100</v>
      </c>
      <c r="Q52" s="25" t="s">
        <v>100</v>
      </c>
      <c r="R52" s="29"/>
      <c r="S52" s="24" t="s">
        <v>114</v>
      </c>
      <c r="T52" s="30">
        <f t="shared" si="3"/>
        <v>11.11111111</v>
      </c>
      <c r="U52" s="24" t="s">
        <v>117</v>
      </c>
    </row>
    <row r="53">
      <c r="A53" s="24">
        <v>48.0</v>
      </c>
      <c r="B53" s="24" t="s">
        <v>549</v>
      </c>
      <c r="C53" s="24" t="s">
        <v>550</v>
      </c>
      <c r="D53" s="24">
        <v>7.0</v>
      </c>
      <c r="E53" s="25" t="s">
        <v>100</v>
      </c>
      <c r="F53" s="25" t="s">
        <v>95</v>
      </c>
      <c r="G53" s="31"/>
      <c r="H53" s="31"/>
      <c r="I53" s="25" t="s">
        <v>100</v>
      </c>
      <c r="J53" s="25" t="s">
        <v>100</v>
      </c>
      <c r="K53" s="25" t="s">
        <v>100</v>
      </c>
      <c r="L53" s="25" t="s">
        <v>100</v>
      </c>
      <c r="M53" s="31"/>
      <c r="N53" s="25" t="s">
        <v>100</v>
      </c>
      <c r="O53" s="32"/>
      <c r="P53" s="25" t="s">
        <v>100</v>
      </c>
      <c r="Q53" s="25" t="s">
        <v>100</v>
      </c>
      <c r="R53" s="29"/>
      <c r="S53" s="24" t="s">
        <v>114</v>
      </c>
      <c r="T53" s="30">
        <f t="shared" si="3"/>
        <v>11.11111111</v>
      </c>
      <c r="U53" s="24" t="s">
        <v>117</v>
      </c>
    </row>
    <row r="54">
      <c r="A54" s="24">
        <v>49.0</v>
      </c>
      <c r="B54" s="24" t="s">
        <v>556</v>
      </c>
      <c r="C54" s="24" t="s">
        <v>557</v>
      </c>
      <c r="D54" s="24">
        <v>7.0</v>
      </c>
      <c r="E54" s="25" t="s">
        <v>100</v>
      </c>
      <c r="F54" s="25" t="s">
        <v>95</v>
      </c>
      <c r="G54" s="31"/>
      <c r="H54" s="31"/>
      <c r="I54" s="25" t="s">
        <v>100</v>
      </c>
      <c r="J54" s="25" t="s">
        <v>100</v>
      </c>
      <c r="K54" s="25" t="s">
        <v>100</v>
      </c>
      <c r="L54" s="25" t="s">
        <v>100</v>
      </c>
      <c r="M54" s="31"/>
      <c r="N54" s="25" t="s">
        <v>100</v>
      </c>
      <c r="O54" s="32"/>
      <c r="P54" s="25" t="s">
        <v>100</v>
      </c>
      <c r="Q54" s="25" t="s">
        <v>100</v>
      </c>
      <c r="R54" s="29"/>
      <c r="S54" s="24" t="s">
        <v>114</v>
      </c>
      <c r="T54" s="30">
        <f t="shared" si="3"/>
        <v>11.11111111</v>
      </c>
      <c r="U54" s="24" t="s">
        <v>117</v>
      </c>
    </row>
    <row r="55">
      <c r="A55" s="24">
        <v>50.0</v>
      </c>
      <c r="B55" s="24" t="s">
        <v>560</v>
      </c>
      <c r="C55" s="24" t="s">
        <v>561</v>
      </c>
      <c r="D55" s="24">
        <v>8.0</v>
      </c>
      <c r="E55" s="25" t="s">
        <v>100</v>
      </c>
      <c r="F55" s="25" t="s">
        <v>95</v>
      </c>
      <c r="G55" s="31"/>
      <c r="H55" s="31"/>
      <c r="I55" s="25" t="s">
        <v>100</v>
      </c>
      <c r="J55" s="25" t="s">
        <v>95</v>
      </c>
      <c r="K55" s="25" t="s">
        <v>95</v>
      </c>
      <c r="L55" s="25" t="s">
        <v>95</v>
      </c>
      <c r="M55" s="31"/>
      <c r="N55" s="25" t="s">
        <v>95</v>
      </c>
      <c r="O55" s="32"/>
      <c r="P55" s="25" t="s">
        <v>95</v>
      </c>
      <c r="Q55" s="25" t="s">
        <v>95</v>
      </c>
      <c r="R55" s="29"/>
      <c r="S55" s="24" t="s">
        <v>114</v>
      </c>
      <c r="T55" s="30">
        <f t="shared" si="3"/>
        <v>77.77777778</v>
      </c>
      <c r="U55" s="24" t="s">
        <v>117</v>
      </c>
    </row>
    <row r="56">
      <c r="A56" s="24">
        <v>51.0</v>
      </c>
      <c r="B56" s="24" t="s">
        <v>566</v>
      </c>
      <c r="C56" s="24" t="s">
        <v>567</v>
      </c>
      <c r="D56" s="24">
        <v>8.0</v>
      </c>
      <c r="E56" s="25" t="s">
        <v>100</v>
      </c>
      <c r="F56" s="25" t="s">
        <v>95</v>
      </c>
      <c r="G56" s="31"/>
      <c r="H56" s="31"/>
      <c r="I56" s="25" t="s">
        <v>100</v>
      </c>
      <c r="J56" s="25" t="s">
        <v>95</v>
      </c>
      <c r="K56" s="25" t="s">
        <v>100</v>
      </c>
      <c r="L56" s="25" t="s">
        <v>100</v>
      </c>
      <c r="M56" s="31"/>
      <c r="N56" s="25" t="s">
        <v>95</v>
      </c>
      <c r="O56" s="32"/>
      <c r="P56" s="25" t="s">
        <v>100</v>
      </c>
      <c r="Q56" s="25" t="s">
        <v>100</v>
      </c>
      <c r="R56" s="29"/>
      <c r="S56" s="24" t="s">
        <v>114</v>
      </c>
      <c r="T56" s="30">
        <f t="shared" si="3"/>
        <v>33.33333333</v>
      </c>
      <c r="U56" s="24" t="s">
        <v>117</v>
      </c>
    </row>
    <row r="57">
      <c r="A57" s="24">
        <v>52.0</v>
      </c>
      <c r="B57" s="24" t="s">
        <v>571</v>
      </c>
      <c r="C57" s="24" t="s">
        <v>572</v>
      </c>
      <c r="D57" s="24">
        <v>8.0</v>
      </c>
      <c r="E57" s="25" t="s">
        <v>95</v>
      </c>
      <c r="F57" s="25" t="s">
        <v>95</v>
      </c>
      <c r="G57" s="31"/>
      <c r="H57" s="31"/>
      <c r="I57" s="25" t="s">
        <v>100</v>
      </c>
      <c r="J57" s="25" t="s">
        <v>100</v>
      </c>
      <c r="K57" s="25" t="s">
        <v>100</v>
      </c>
      <c r="L57" s="25" t="s">
        <v>95</v>
      </c>
      <c r="M57" s="31"/>
      <c r="N57" s="25" t="s">
        <v>100</v>
      </c>
      <c r="O57" s="32"/>
      <c r="P57" s="25" t="s">
        <v>100</v>
      </c>
      <c r="Q57" s="25" t="s">
        <v>100</v>
      </c>
      <c r="R57" s="29"/>
      <c r="S57" s="24" t="s">
        <v>114</v>
      </c>
      <c r="T57" s="30">
        <f t="shared" si="3"/>
        <v>33.33333333</v>
      </c>
      <c r="U57" s="24" t="s">
        <v>117</v>
      </c>
    </row>
    <row r="58">
      <c r="A58" s="24">
        <v>53.0</v>
      </c>
      <c r="B58" s="24" t="s">
        <v>578</v>
      </c>
      <c r="C58" s="24" t="s">
        <v>580</v>
      </c>
      <c r="D58" s="24">
        <v>7.0</v>
      </c>
      <c r="E58" s="25" t="s">
        <v>100</v>
      </c>
      <c r="F58" s="25" t="s">
        <v>95</v>
      </c>
      <c r="G58" s="31"/>
      <c r="H58" s="31"/>
      <c r="I58" s="25" t="s">
        <v>100</v>
      </c>
      <c r="J58" s="25" t="s">
        <v>100</v>
      </c>
      <c r="K58" s="25" t="s">
        <v>100</v>
      </c>
      <c r="L58" s="25" t="s">
        <v>100</v>
      </c>
      <c r="M58" s="31"/>
      <c r="N58" s="25" t="s">
        <v>100</v>
      </c>
      <c r="O58" s="32"/>
      <c r="P58" s="25" t="s">
        <v>100</v>
      </c>
      <c r="Q58" s="25" t="s">
        <v>100</v>
      </c>
      <c r="R58" s="29"/>
      <c r="S58" s="24" t="s">
        <v>114</v>
      </c>
      <c r="T58" s="30">
        <f t="shared" si="3"/>
        <v>11.11111111</v>
      </c>
      <c r="U58" s="24" t="s">
        <v>117</v>
      </c>
    </row>
    <row r="59">
      <c r="A59" s="24">
        <v>54.0</v>
      </c>
      <c r="B59" s="24" t="s">
        <v>589</v>
      </c>
      <c r="C59" s="24" t="s">
        <v>590</v>
      </c>
      <c r="D59" s="24">
        <v>9.0</v>
      </c>
      <c r="E59" s="25" t="s">
        <v>100</v>
      </c>
      <c r="F59" s="25" t="s">
        <v>100</v>
      </c>
      <c r="G59" s="31"/>
      <c r="H59" s="31"/>
      <c r="I59" s="25" t="s">
        <v>95</v>
      </c>
      <c r="J59" s="25" t="s">
        <v>95</v>
      </c>
      <c r="K59" s="25" t="s">
        <v>95</v>
      </c>
      <c r="L59" s="25" t="s">
        <v>95</v>
      </c>
      <c r="M59" s="31"/>
      <c r="N59" s="25" t="s">
        <v>100</v>
      </c>
      <c r="O59" s="32"/>
      <c r="P59" s="25" t="s">
        <v>95</v>
      </c>
      <c r="Q59" s="25" t="s">
        <v>95</v>
      </c>
      <c r="R59" s="29"/>
      <c r="S59" s="24" t="s">
        <v>114</v>
      </c>
      <c r="T59" s="30">
        <f t="shared" si="3"/>
        <v>66.66666667</v>
      </c>
      <c r="U59" s="24" t="s">
        <v>117</v>
      </c>
    </row>
    <row r="60">
      <c r="A60" s="24">
        <v>55.0</v>
      </c>
      <c r="B60" s="24" t="s">
        <v>497</v>
      </c>
      <c r="C60" s="24" t="s">
        <v>122</v>
      </c>
      <c r="D60" s="24">
        <v>10.0</v>
      </c>
      <c r="E60" s="25" t="s">
        <v>100</v>
      </c>
      <c r="F60" s="25" t="s">
        <v>100</v>
      </c>
      <c r="G60" s="31"/>
      <c r="H60" s="31"/>
      <c r="I60" s="25" t="s">
        <v>95</v>
      </c>
      <c r="J60" s="25" t="s">
        <v>95</v>
      </c>
      <c r="K60" s="25" t="s">
        <v>95</v>
      </c>
      <c r="L60" s="25" t="s">
        <v>100</v>
      </c>
      <c r="M60" s="31"/>
      <c r="N60" s="25" t="s">
        <v>100</v>
      </c>
      <c r="O60" s="32"/>
      <c r="P60" s="25" t="s">
        <v>100</v>
      </c>
      <c r="Q60" s="25" t="s">
        <v>100</v>
      </c>
      <c r="R60" s="29"/>
      <c r="S60" s="24" t="s">
        <v>114</v>
      </c>
      <c r="T60" s="30">
        <f t="shared" si="3"/>
        <v>33.33333333</v>
      </c>
      <c r="U60" s="24" t="s">
        <v>117</v>
      </c>
    </row>
    <row r="61">
      <c r="A61" s="24">
        <v>56.0</v>
      </c>
      <c r="B61" s="24" t="s">
        <v>607</v>
      </c>
      <c r="C61" s="24" t="s">
        <v>608</v>
      </c>
      <c r="D61" s="24">
        <v>10.0</v>
      </c>
      <c r="E61" s="25" t="s">
        <v>100</v>
      </c>
      <c r="F61" s="25" t="s">
        <v>95</v>
      </c>
      <c r="G61" s="31"/>
      <c r="H61" s="31"/>
      <c r="I61" s="25" t="s">
        <v>95</v>
      </c>
      <c r="J61" s="25" t="s">
        <v>95</v>
      </c>
      <c r="K61" s="25" t="s">
        <v>95</v>
      </c>
      <c r="L61" s="25" t="s">
        <v>95</v>
      </c>
      <c r="M61" s="31"/>
      <c r="N61" s="25" t="s">
        <v>100</v>
      </c>
      <c r="O61" s="32" t="s">
        <v>95</v>
      </c>
      <c r="P61" s="25" t="s">
        <v>95</v>
      </c>
      <c r="Q61" s="25" t="s">
        <v>100</v>
      </c>
      <c r="R61" s="29"/>
      <c r="S61" s="24" t="s">
        <v>114</v>
      </c>
      <c r="T61" s="30">
        <f t="shared" si="3"/>
        <v>70</v>
      </c>
      <c r="U61" s="24" t="s">
        <v>117</v>
      </c>
    </row>
    <row r="62">
      <c r="A62" s="24">
        <v>57.0</v>
      </c>
      <c r="B62" s="24" t="s">
        <v>614</v>
      </c>
      <c r="C62" s="24" t="s">
        <v>615</v>
      </c>
      <c r="D62" s="24">
        <v>6.0</v>
      </c>
      <c r="E62" s="25" t="s">
        <v>100</v>
      </c>
      <c r="F62" s="25" t="s">
        <v>100</v>
      </c>
      <c r="G62" s="31"/>
      <c r="H62" s="31"/>
      <c r="I62" s="25" t="s">
        <v>100</v>
      </c>
      <c r="J62" s="25" t="s">
        <v>100</v>
      </c>
      <c r="K62" s="25" t="s">
        <v>95</v>
      </c>
      <c r="L62" s="25" t="s">
        <v>95</v>
      </c>
      <c r="M62" s="31"/>
      <c r="N62" s="25" t="s">
        <v>100</v>
      </c>
      <c r="O62" s="32"/>
      <c r="P62" s="25" t="s">
        <v>100</v>
      </c>
      <c r="Q62" s="25" t="s">
        <v>100</v>
      </c>
      <c r="R62" s="29"/>
      <c r="S62" s="24" t="s">
        <v>114</v>
      </c>
      <c r="T62" s="30">
        <f t="shared" si="3"/>
        <v>22.22222222</v>
      </c>
      <c r="U62" s="24" t="s">
        <v>117</v>
      </c>
    </row>
    <row r="63">
      <c r="A63" s="24">
        <v>58.0</v>
      </c>
      <c r="B63" s="24" t="s">
        <v>462</v>
      </c>
      <c r="C63" s="24" t="s">
        <v>463</v>
      </c>
      <c r="D63" s="24">
        <v>6.0</v>
      </c>
      <c r="E63" s="25" t="s">
        <v>100</v>
      </c>
      <c r="F63" s="25" t="s">
        <v>100</v>
      </c>
      <c r="G63" s="38"/>
      <c r="H63" s="38"/>
      <c r="I63" s="25" t="s">
        <v>100</v>
      </c>
      <c r="J63" s="25" t="s">
        <v>100</v>
      </c>
      <c r="K63" s="25" t="s">
        <v>95</v>
      </c>
      <c r="L63" s="25" t="s">
        <v>95</v>
      </c>
      <c r="M63" s="38"/>
      <c r="N63" s="25" t="s">
        <v>95</v>
      </c>
      <c r="O63" s="32"/>
      <c r="P63" s="25" t="s">
        <v>100</v>
      </c>
      <c r="Q63" s="25" t="s">
        <v>95</v>
      </c>
      <c r="R63" s="29"/>
      <c r="S63" s="24" t="s">
        <v>114</v>
      </c>
      <c r="T63" s="30">
        <f t="shared" si="3"/>
        <v>44.44444444</v>
      </c>
      <c r="U63" s="24" t="s">
        <v>117</v>
      </c>
    </row>
  </sheetData>
  <mergeCells count="1">
    <mergeCell ref="A1:U2"/>
  </mergeCells>
  <conditionalFormatting sqref="S6:S63">
    <cfRule type="cellIs" dxfId="0" priority="1" operator="equal">
      <formula>"Not Submitted"</formula>
    </cfRule>
  </conditionalFormatting>
  <conditionalFormatting sqref="S6:S63">
    <cfRule type="cellIs" dxfId="1" priority="2" operator="equal">
      <formula>"Submitted"</formula>
    </cfRule>
  </conditionalFormatting>
  <conditionalFormatting sqref="S6:S63">
    <cfRule type="cellIs" dxfId="2" priority="3" operator="equal">
      <formula>"Approved"</formula>
    </cfRule>
  </conditionalFormatting>
  <conditionalFormatting sqref="U6:U63">
    <cfRule type="cellIs" dxfId="0" priority="4" operator="equal">
      <formula>"Not Certified"</formula>
    </cfRule>
  </conditionalFormatting>
  <conditionalFormatting sqref="U6:U63">
    <cfRule type="cellIs" dxfId="2" priority="5" operator="equal">
      <formula>"Certified"</formula>
    </cfRule>
  </conditionalFormatting>
  <conditionalFormatting sqref="E6:E44 F6:H40 I6:I46 J6:P40 Q6 Q17:Q20 Q22:Q27">
    <cfRule type="cellIs" dxfId="2" priority="6" operator="equal">
      <formula>"P"</formula>
    </cfRule>
  </conditionalFormatting>
  <conditionalFormatting sqref="E6:E44 F6:H40 I6:I46 J6:P40 Q6 Q17:Q20 Q22:Q27">
    <cfRule type="cellIs" dxfId="0" priority="7" operator="equal">
      <formula>"A"</formula>
    </cfRule>
  </conditionalFormatting>
  <conditionalFormatting sqref="F41:F54 E45:E54">
    <cfRule type="cellIs" dxfId="2" priority="8" operator="equal">
      <formula>"P"</formula>
    </cfRule>
  </conditionalFormatting>
  <conditionalFormatting sqref="F41:F54 E45:E54">
    <cfRule type="cellIs" dxfId="0" priority="9" operator="equal">
      <formula>"A"</formula>
    </cfRule>
  </conditionalFormatting>
  <conditionalFormatting sqref="E55:F61 I55:L61 N55:P61 Q56:Q58">
    <cfRule type="cellIs" dxfId="2" priority="10" operator="equal">
      <formula>"P"</formula>
    </cfRule>
  </conditionalFormatting>
  <conditionalFormatting sqref="E55:F61 I55:L61 N55:P61 Q56:Q58">
    <cfRule type="cellIs" dxfId="0" priority="11" operator="equal">
      <formula>"A"</formula>
    </cfRule>
  </conditionalFormatting>
  <conditionalFormatting sqref="J41:L54 N41:N54 O41:O60 P41:P54 I47:I58">
    <cfRule type="cellIs" dxfId="2" priority="12" operator="equal">
      <formula>"p"</formula>
    </cfRule>
  </conditionalFormatting>
  <conditionalFormatting sqref="J41:L54 N41:N54 O41:O60 P41:P54 I47:I58">
    <cfRule type="cellIs" dxfId="0" priority="13" operator="equal">
      <formula>"A"</formula>
    </cfRule>
  </conditionalFormatting>
  <conditionalFormatting sqref="O6:P6 Q6:R63 O8:O10 P8:P14 O12:O14 O17:P20 O22:O28 P22:P24 P28:P29 O30:O35 P31 P33:P35 O37:P37 O39:O60 P39:P40 P45:P54 P56:P58 P60 E62:F63 I62:L63 N62:P63">
    <cfRule type="containsText" dxfId="2" priority="14" operator="containsText" text="P">
      <formula>NOT(ISERROR(SEARCH(("P"),(O6))))</formula>
    </cfRule>
  </conditionalFormatting>
  <conditionalFormatting sqref="O6:P6 Q6:R63 O8:O10 P8:P14 O12:O14 O17:P20 O22:O28 P22:P24 P28:P29 O30:O35 P31 P33:P35 O37:P37 O39:O60 P39:P40 P45:P54 P56:P58 P60 E62:F63 I62:L63 N62:P63">
    <cfRule type="containsText" dxfId="0" priority="15" operator="containsText" text="A">
      <formula>NOT(ISERROR(SEARCH(("A"),(O6))))</formula>
    </cfRule>
  </conditionalFormatting>
  <conditionalFormatting sqref="T6:T63">
    <cfRule type="cellIs" dxfId="0" priority="16" operator="lessThan">
      <formula>50</formula>
    </cfRule>
  </conditionalFormatting>
  <conditionalFormatting sqref="T6:T63">
    <cfRule type="cellIs" dxfId="1" priority="17" operator="lessThan">
      <formula>70</formula>
    </cfRule>
  </conditionalFormatting>
  <conditionalFormatting sqref="T6:T63">
    <cfRule type="cellIs" dxfId="2" priority="18" operator="greaterThanOrEqual">
      <formula>70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0"/>
    <col customWidth="1" min="3" max="3" width="21.13"/>
    <col customWidth="1" min="5" max="5" width="19.38"/>
    <col customWidth="1" min="6" max="6" width="17.13"/>
    <col customWidth="1" min="7" max="7" width="26.75"/>
  </cols>
  <sheetData>
    <row r="1">
      <c r="A1" s="3" t="s">
        <v>2</v>
      </c>
      <c r="B1" s="4"/>
      <c r="C1" s="4"/>
      <c r="D1" s="4"/>
      <c r="E1" s="4"/>
      <c r="F1" s="4"/>
      <c r="G1" s="6"/>
    </row>
    <row r="2">
      <c r="A2" s="7" t="s">
        <v>4</v>
      </c>
      <c r="B2" s="7" t="s">
        <v>5</v>
      </c>
      <c r="C2" s="7" t="s">
        <v>6</v>
      </c>
      <c r="D2" s="7" t="s">
        <v>7</v>
      </c>
      <c r="E2" s="7" t="s">
        <v>8</v>
      </c>
      <c r="F2" s="7" t="s">
        <v>10</v>
      </c>
      <c r="G2" s="7" t="s">
        <v>12</v>
      </c>
    </row>
    <row r="3">
      <c r="A3" s="11">
        <v>1.0</v>
      </c>
      <c r="B3" s="12" t="s">
        <v>17</v>
      </c>
      <c r="C3" s="12" t="s">
        <v>20</v>
      </c>
      <c r="D3" s="12" t="s">
        <v>22</v>
      </c>
      <c r="E3" s="11">
        <v>3.42672654E9</v>
      </c>
      <c r="F3" s="12" t="s">
        <v>23</v>
      </c>
      <c r="G3" s="12" t="s">
        <v>25</v>
      </c>
    </row>
    <row r="4">
      <c r="A4" s="11">
        <v>2.0</v>
      </c>
      <c r="B4" s="12" t="s">
        <v>27</v>
      </c>
      <c r="C4" s="12" t="s">
        <v>29</v>
      </c>
      <c r="D4" s="12" t="s">
        <v>22</v>
      </c>
      <c r="E4" s="11">
        <v>3.462851219E9</v>
      </c>
      <c r="F4" s="12" t="s">
        <v>31</v>
      </c>
      <c r="G4" s="12" t="s">
        <v>33</v>
      </c>
    </row>
    <row r="5">
      <c r="A5" s="11">
        <v>3.0</v>
      </c>
      <c r="B5" s="12" t="s">
        <v>36</v>
      </c>
      <c r="C5" s="12" t="s">
        <v>37</v>
      </c>
      <c r="D5" s="12" t="s">
        <v>22</v>
      </c>
      <c r="E5" s="12" t="s">
        <v>39</v>
      </c>
      <c r="F5" s="12" t="s">
        <v>40</v>
      </c>
      <c r="G5" s="12" t="s">
        <v>42</v>
      </c>
    </row>
    <row r="6">
      <c r="A6" s="11">
        <v>4.0</v>
      </c>
      <c r="B6" s="12" t="s">
        <v>43</v>
      </c>
      <c r="C6" s="12" t="s">
        <v>44</v>
      </c>
      <c r="D6" s="12" t="s">
        <v>22</v>
      </c>
      <c r="E6" s="11">
        <v>3.049962429E9</v>
      </c>
      <c r="F6" s="12" t="s">
        <v>45</v>
      </c>
      <c r="G6" s="12" t="s">
        <v>47</v>
      </c>
    </row>
    <row r="7">
      <c r="A7" s="11">
        <v>5.0</v>
      </c>
      <c r="B7" s="12" t="s">
        <v>49</v>
      </c>
      <c r="C7" s="12" t="s">
        <v>50</v>
      </c>
      <c r="D7" s="12" t="s">
        <v>22</v>
      </c>
      <c r="E7" s="11">
        <v>3.265900816E9</v>
      </c>
      <c r="F7" s="12" t="s">
        <v>51</v>
      </c>
      <c r="G7" s="12" t="s">
        <v>52</v>
      </c>
    </row>
    <row r="8">
      <c r="A8" s="11">
        <v>6.0</v>
      </c>
      <c r="B8" s="12" t="s">
        <v>49</v>
      </c>
      <c r="C8" s="12" t="s">
        <v>57</v>
      </c>
      <c r="D8" s="12" t="s">
        <v>22</v>
      </c>
      <c r="E8" s="11">
        <v>3.147192031E9</v>
      </c>
      <c r="F8" s="12" t="s">
        <v>59</v>
      </c>
      <c r="G8" s="12" t="s">
        <v>62</v>
      </c>
    </row>
    <row r="9">
      <c r="A9" s="11">
        <v>7.0</v>
      </c>
      <c r="B9" s="12" t="s">
        <v>65</v>
      </c>
      <c r="C9" s="12" t="s">
        <v>66</v>
      </c>
      <c r="D9" s="12" t="s">
        <v>22</v>
      </c>
      <c r="E9" s="11">
        <v>3.453113981E9</v>
      </c>
      <c r="F9" s="12" t="s">
        <v>67</v>
      </c>
      <c r="G9" s="12" t="s">
        <v>68</v>
      </c>
    </row>
    <row r="10">
      <c r="A10" s="11">
        <v>8.0</v>
      </c>
      <c r="B10" s="12" t="s">
        <v>70</v>
      </c>
      <c r="C10" s="12" t="s">
        <v>71</v>
      </c>
      <c r="D10" s="12" t="s">
        <v>22</v>
      </c>
      <c r="E10" s="11">
        <v>3.323055789E9</v>
      </c>
      <c r="F10" s="12" t="s">
        <v>72</v>
      </c>
      <c r="G10" s="12" t="s">
        <v>68</v>
      </c>
    </row>
    <row r="11">
      <c r="A11" s="11">
        <v>9.0</v>
      </c>
      <c r="B11" s="12" t="s">
        <v>74</v>
      </c>
      <c r="C11" s="12" t="s">
        <v>75</v>
      </c>
      <c r="D11" s="12" t="s">
        <v>22</v>
      </c>
      <c r="E11" s="11">
        <v>3.464009182E9</v>
      </c>
      <c r="F11" s="12" t="s">
        <v>76</v>
      </c>
      <c r="G11" s="12" t="s">
        <v>77</v>
      </c>
    </row>
    <row r="12">
      <c r="A12" s="11">
        <v>10.0</v>
      </c>
      <c r="B12" s="12" t="s">
        <v>74</v>
      </c>
      <c r="C12" s="12" t="s">
        <v>57</v>
      </c>
      <c r="D12" s="12" t="s">
        <v>22</v>
      </c>
      <c r="E12" s="11">
        <v>3.147192031E9</v>
      </c>
      <c r="F12" s="12" t="s">
        <v>78</v>
      </c>
      <c r="G12" s="12" t="s">
        <v>79</v>
      </c>
    </row>
    <row r="13">
      <c r="A13" s="11">
        <v>11.0</v>
      </c>
      <c r="B13" s="12" t="s">
        <v>80</v>
      </c>
      <c r="C13" s="12" t="s">
        <v>57</v>
      </c>
      <c r="D13" s="12" t="s">
        <v>22</v>
      </c>
      <c r="E13" s="11">
        <v>3.147192031E9</v>
      </c>
      <c r="F13" s="12" t="s">
        <v>81</v>
      </c>
      <c r="G13" s="12" t="s">
        <v>82</v>
      </c>
    </row>
    <row r="14">
      <c r="A14" s="11">
        <v>12.0</v>
      </c>
      <c r="B14" s="12" t="s">
        <v>83</v>
      </c>
      <c r="C14" s="12" t="s">
        <v>63</v>
      </c>
      <c r="D14" s="12" t="s">
        <v>22</v>
      </c>
      <c r="E14" s="11">
        <v>3.42331625E9</v>
      </c>
      <c r="F14" s="12" t="s">
        <v>84</v>
      </c>
      <c r="G14" s="12" t="s">
        <v>68</v>
      </c>
    </row>
    <row r="15">
      <c r="A15" s="11">
        <v>13.0</v>
      </c>
      <c r="B15" s="12" t="s">
        <v>86</v>
      </c>
      <c r="C15" s="12" t="s">
        <v>87</v>
      </c>
      <c r="D15" s="12" t="s">
        <v>22</v>
      </c>
      <c r="E15" s="11">
        <v>3.432651542E9</v>
      </c>
      <c r="F15" s="12" t="s">
        <v>88</v>
      </c>
      <c r="G15" s="12" t="s">
        <v>89</v>
      </c>
    </row>
    <row r="16">
      <c r="A16" s="11">
        <v>14.0</v>
      </c>
      <c r="B16" s="12" t="s">
        <v>69</v>
      </c>
      <c r="C16" s="12" t="s">
        <v>63</v>
      </c>
      <c r="D16" s="12" t="s">
        <v>22</v>
      </c>
      <c r="E16" s="11">
        <v>3.456185582E9</v>
      </c>
      <c r="F16" s="12" t="s">
        <v>84</v>
      </c>
      <c r="G16" s="12" t="s">
        <v>68</v>
      </c>
    </row>
    <row r="17">
      <c r="A17" s="11">
        <v>15.0</v>
      </c>
      <c r="B17" s="12" t="s">
        <v>69</v>
      </c>
      <c r="C17" s="12" t="s">
        <v>90</v>
      </c>
      <c r="D17" s="12" t="s">
        <v>22</v>
      </c>
      <c r="E17" s="11">
        <v>3.036761966E9</v>
      </c>
      <c r="F17" s="12" t="s">
        <v>90</v>
      </c>
      <c r="G17" s="12" t="s">
        <v>91</v>
      </c>
    </row>
    <row r="18">
      <c r="A18" s="11">
        <v>16.0</v>
      </c>
      <c r="B18" s="12" t="s">
        <v>69</v>
      </c>
      <c r="C18" s="12" t="s">
        <v>72</v>
      </c>
      <c r="D18" s="12" t="s">
        <v>22</v>
      </c>
      <c r="E18" s="11">
        <v>3.002509086E9</v>
      </c>
      <c r="F18" s="12" t="s">
        <v>72</v>
      </c>
      <c r="G18" s="12" t="s">
        <v>94</v>
      </c>
    </row>
    <row r="19">
      <c r="A19" s="11">
        <v>17.0</v>
      </c>
      <c r="B19" s="12" t="s">
        <v>96</v>
      </c>
      <c r="C19" s="12" t="s">
        <v>98</v>
      </c>
      <c r="D19" s="12" t="s">
        <v>22</v>
      </c>
      <c r="E19" s="11">
        <v>3.156627542E9</v>
      </c>
      <c r="F19" s="12" t="s">
        <v>84</v>
      </c>
      <c r="G19" s="12" t="s">
        <v>101</v>
      </c>
    </row>
    <row r="20">
      <c r="A20" s="11">
        <v>18.0</v>
      </c>
      <c r="B20" s="12" t="s">
        <v>102</v>
      </c>
      <c r="C20" s="12" t="s">
        <v>104</v>
      </c>
      <c r="D20" s="12" t="s">
        <v>22</v>
      </c>
      <c r="E20" s="12" t="s">
        <v>106</v>
      </c>
      <c r="F20" s="12" t="s">
        <v>104</v>
      </c>
      <c r="G20" s="12" t="s">
        <v>108</v>
      </c>
    </row>
    <row r="21">
      <c r="A21" s="11">
        <v>19.0</v>
      </c>
      <c r="B21" s="12" t="s">
        <v>109</v>
      </c>
      <c r="C21" s="12" t="s">
        <v>110</v>
      </c>
      <c r="D21" s="12" t="s">
        <v>22</v>
      </c>
      <c r="E21" s="11">
        <v>3.456185582E9</v>
      </c>
      <c r="F21" s="12" t="s">
        <v>84</v>
      </c>
      <c r="G21" s="12" t="s">
        <v>68</v>
      </c>
    </row>
    <row r="22">
      <c r="A22" s="11">
        <v>20.0</v>
      </c>
      <c r="B22" s="12" t="s">
        <v>112</v>
      </c>
      <c r="C22" s="12" t="s">
        <v>113</v>
      </c>
      <c r="D22" s="12" t="s">
        <v>22</v>
      </c>
      <c r="E22" s="11">
        <v>3.052102634E9</v>
      </c>
      <c r="F22" s="12" t="s">
        <v>84</v>
      </c>
      <c r="G22" s="12" t="s">
        <v>77</v>
      </c>
    </row>
    <row r="23">
      <c r="A23" s="11">
        <v>21.0</v>
      </c>
      <c r="B23" s="12" t="s">
        <v>115</v>
      </c>
      <c r="C23" s="12" t="s">
        <v>116</v>
      </c>
      <c r="D23" s="12" t="s">
        <v>22</v>
      </c>
      <c r="E23" s="12" t="s">
        <v>106</v>
      </c>
      <c r="F23" s="12" t="s">
        <v>116</v>
      </c>
      <c r="G23" s="12" t="s">
        <v>108</v>
      </c>
    </row>
    <row r="24">
      <c r="A24" s="11">
        <v>22.0</v>
      </c>
      <c r="B24" s="12" t="s">
        <v>118</v>
      </c>
      <c r="C24" s="12" t="s">
        <v>120</v>
      </c>
      <c r="D24" s="12" t="s">
        <v>22</v>
      </c>
      <c r="E24" s="11">
        <v>3.042118245E9</v>
      </c>
      <c r="F24" s="12" t="s">
        <v>90</v>
      </c>
      <c r="G24" s="12" t="s">
        <v>123</v>
      </c>
    </row>
    <row r="25">
      <c r="A25" s="11">
        <v>23.0</v>
      </c>
      <c r="B25" s="12" t="s">
        <v>124</v>
      </c>
      <c r="C25" s="12" t="s">
        <v>125</v>
      </c>
      <c r="D25" s="12" t="s">
        <v>22</v>
      </c>
      <c r="E25" s="11">
        <v>3.336762901E9</v>
      </c>
      <c r="F25" s="12" t="s">
        <v>84</v>
      </c>
      <c r="G25" s="12" t="s">
        <v>77</v>
      </c>
    </row>
    <row r="26">
      <c r="A26" s="11">
        <v>24.0</v>
      </c>
      <c r="B26" s="12" t="s">
        <v>126</v>
      </c>
      <c r="C26" s="12" t="s">
        <v>127</v>
      </c>
      <c r="D26" s="12" t="s">
        <v>22</v>
      </c>
      <c r="E26" s="11">
        <v>3.162712471E9</v>
      </c>
      <c r="F26" s="12" t="s">
        <v>84</v>
      </c>
      <c r="G26" s="12" t="s">
        <v>128</v>
      </c>
    </row>
    <row r="27">
      <c r="A27" s="11">
        <v>25.0</v>
      </c>
      <c r="B27" s="12" t="s">
        <v>129</v>
      </c>
      <c r="C27" s="12" t="s">
        <v>127</v>
      </c>
      <c r="D27" s="12" t="s">
        <v>22</v>
      </c>
      <c r="E27" s="11">
        <v>3.162712471E9</v>
      </c>
      <c r="F27" s="12" t="s">
        <v>84</v>
      </c>
      <c r="G27" s="12" t="s">
        <v>128</v>
      </c>
    </row>
    <row r="28">
      <c r="A28" s="11">
        <v>26.0</v>
      </c>
      <c r="B28" s="12" t="s">
        <v>132</v>
      </c>
      <c r="C28" s="12" t="s">
        <v>134</v>
      </c>
      <c r="D28" s="12" t="s">
        <v>22</v>
      </c>
      <c r="E28" s="11">
        <v>3.156627548E9</v>
      </c>
      <c r="F28" s="12" t="s">
        <v>136</v>
      </c>
      <c r="G28" s="12" t="s">
        <v>77</v>
      </c>
    </row>
    <row r="29">
      <c r="A29" s="11">
        <v>27.0</v>
      </c>
      <c r="B29" s="12" t="s">
        <v>137</v>
      </c>
      <c r="C29" s="12" t="s">
        <v>138</v>
      </c>
      <c r="D29" s="12" t="s">
        <v>22</v>
      </c>
      <c r="E29" s="11">
        <v>3.070152577E9</v>
      </c>
      <c r="F29" s="12" t="s">
        <v>139</v>
      </c>
      <c r="G29" s="12" t="s">
        <v>77</v>
      </c>
    </row>
    <row r="30">
      <c r="A30" s="11">
        <v>28.0</v>
      </c>
      <c r="B30" s="12" t="s">
        <v>140</v>
      </c>
      <c r="C30" s="12" t="s">
        <v>141</v>
      </c>
      <c r="D30" s="12" t="s">
        <v>22</v>
      </c>
      <c r="E30" s="11">
        <v>3.421597063E9</v>
      </c>
      <c r="F30" s="12" t="s">
        <v>142</v>
      </c>
      <c r="G30" s="12" t="s">
        <v>144</v>
      </c>
    </row>
    <row r="31">
      <c r="A31" s="11">
        <v>29.0</v>
      </c>
      <c r="B31" s="12" t="s">
        <v>146</v>
      </c>
      <c r="C31" s="12" t="s">
        <v>134</v>
      </c>
      <c r="D31" s="12" t="s">
        <v>22</v>
      </c>
      <c r="E31" s="11">
        <v>3.153627548E9</v>
      </c>
      <c r="F31" s="12" t="s">
        <v>31</v>
      </c>
      <c r="G31" s="12" t="s">
        <v>68</v>
      </c>
    </row>
    <row r="32">
      <c r="A32" s="11">
        <v>30.0</v>
      </c>
      <c r="B32" s="12" t="s">
        <v>149</v>
      </c>
      <c r="C32" s="12" t="s">
        <v>150</v>
      </c>
      <c r="D32" s="12" t="s">
        <v>22</v>
      </c>
      <c r="E32" s="11">
        <v>3.212656495E9</v>
      </c>
      <c r="F32" s="12" t="s">
        <v>151</v>
      </c>
      <c r="G32" s="12" t="s">
        <v>152</v>
      </c>
    </row>
    <row r="33">
      <c r="A33" s="11">
        <v>31.0</v>
      </c>
      <c r="B33" s="12" t="s">
        <v>153</v>
      </c>
      <c r="C33" s="12" t="s">
        <v>154</v>
      </c>
      <c r="D33" s="12" t="s">
        <v>22</v>
      </c>
      <c r="E33" s="12" t="s">
        <v>155</v>
      </c>
      <c r="F33" s="12" t="s">
        <v>156</v>
      </c>
      <c r="G33" s="12" t="s">
        <v>77</v>
      </c>
    </row>
    <row r="34">
      <c r="A34" s="11">
        <v>32.0</v>
      </c>
      <c r="B34" s="12" t="s">
        <v>159</v>
      </c>
      <c r="C34" s="12" t="s">
        <v>160</v>
      </c>
      <c r="D34" s="12" t="s">
        <v>22</v>
      </c>
      <c r="E34" s="12" t="s">
        <v>162</v>
      </c>
      <c r="F34" s="12" t="s">
        <v>164</v>
      </c>
      <c r="G34" s="12" t="s">
        <v>165</v>
      </c>
    </row>
    <row r="35">
      <c r="A35" s="11">
        <v>33.0</v>
      </c>
      <c r="B35" s="12" t="s">
        <v>166</v>
      </c>
      <c r="C35" s="12" t="s">
        <v>167</v>
      </c>
      <c r="D35" s="12" t="s">
        <v>22</v>
      </c>
      <c r="E35" s="11">
        <v>3.333825604E9</v>
      </c>
      <c r="F35" s="12" t="s">
        <v>84</v>
      </c>
      <c r="G35" s="12" t="s">
        <v>77</v>
      </c>
    </row>
    <row r="36">
      <c r="A36" s="11">
        <v>34.0</v>
      </c>
      <c r="B36" s="12" t="s">
        <v>168</v>
      </c>
      <c r="C36" s="12" t="s">
        <v>169</v>
      </c>
      <c r="D36" s="12" t="s">
        <v>22</v>
      </c>
      <c r="E36" s="11">
        <v>3.458022254E9</v>
      </c>
      <c r="F36" s="12" t="s">
        <v>72</v>
      </c>
      <c r="G36" s="12" t="s">
        <v>172</v>
      </c>
    </row>
    <row r="37">
      <c r="A37" s="11">
        <v>35.0</v>
      </c>
      <c r="B37" s="12" t="s">
        <v>173</v>
      </c>
      <c r="C37" s="12" t="s">
        <v>110</v>
      </c>
      <c r="D37" s="12" t="s">
        <v>22</v>
      </c>
      <c r="E37" s="11">
        <v>3.333397559E9</v>
      </c>
      <c r="F37" s="12" t="s">
        <v>116</v>
      </c>
      <c r="G37" s="12" t="s">
        <v>176</v>
      </c>
    </row>
    <row r="38">
      <c r="A38" s="11">
        <v>36.0</v>
      </c>
      <c r="B38" s="12" t="s">
        <v>177</v>
      </c>
      <c r="C38" s="12" t="s">
        <v>178</v>
      </c>
      <c r="D38" s="12" t="s">
        <v>22</v>
      </c>
      <c r="E38" s="11">
        <v>3.352254143E9</v>
      </c>
      <c r="F38" s="12" t="s">
        <v>179</v>
      </c>
      <c r="G38" s="12" t="s">
        <v>180</v>
      </c>
    </row>
    <row r="39">
      <c r="A39" s="11">
        <v>37.0</v>
      </c>
      <c r="B39" s="12" t="s">
        <v>181</v>
      </c>
      <c r="C39" s="12" t="s">
        <v>182</v>
      </c>
      <c r="D39" s="12" t="s">
        <v>22</v>
      </c>
      <c r="E39" s="11">
        <v>3.032288606E9</v>
      </c>
      <c r="F39" s="12" t="s">
        <v>184</v>
      </c>
      <c r="G39" s="12" t="s">
        <v>68</v>
      </c>
    </row>
    <row r="40">
      <c r="A40" s="11">
        <v>38.0</v>
      </c>
      <c r="B40" s="12" t="s">
        <v>181</v>
      </c>
      <c r="C40" s="12" t="s">
        <v>186</v>
      </c>
      <c r="D40" s="12" t="s">
        <v>22</v>
      </c>
      <c r="E40" s="11">
        <v>3.032288606E9</v>
      </c>
      <c r="F40" s="12" t="s">
        <v>184</v>
      </c>
      <c r="G40" s="12" t="s">
        <v>42</v>
      </c>
    </row>
    <row r="41">
      <c r="A41" s="11">
        <v>39.0</v>
      </c>
      <c r="B41" s="12" t="s">
        <v>189</v>
      </c>
      <c r="C41" s="12" t="s">
        <v>190</v>
      </c>
      <c r="D41" s="12" t="s">
        <v>22</v>
      </c>
      <c r="E41" s="11">
        <v>3.15584398E9</v>
      </c>
      <c r="F41" s="12" t="s">
        <v>31</v>
      </c>
      <c r="G41" s="12" t="s">
        <v>68</v>
      </c>
    </row>
    <row r="42">
      <c r="A42" s="11">
        <v>40.0</v>
      </c>
      <c r="B42" s="12" t="s">
        <v>191</v>
      </c>
      <c r="C42" s="12" t="s">
        <v>192</v>
      </c>
      <c r="D42" s="12" t="s">
        <v>22</v>
      </c>
      <c r="E42" s="11">
        <v>3.218236086E9</v>
      </c>
      <c r="F42" s="12" t="s">
        <v>193</v>
      </c>
      <c r="G42" s="12" t="s">
        <v>194</v>
      </c>
    </row>
    <row r="43">
      <c r="A43" s="11">
        <v>41.0</v>
      </c>
      <c r="B43" s="12" t="s">
        <v>195</v>
      </c>
      <c r="C43" s="12" t="s">
        <v>196</v>
      </c>
      <c r="D43" s="12" t="s">
        <v>22</v>
      </c>
      <c r="E43" s="11">
        <v>3.082392911E9</v>
      </c>
      <c r="F43" s="12" t="s">
        <v>116</v>
      </c>
      <c r="G43" s="12" t="s">
        <v>199</v>
      </c>
    </row>
    <row r="44">
      <c r="A44" s="11">
        <v>42.0</v>
      </c>
      <c r="B44" s="12" t="s">
        <v>200</v>
      </c>
      <c r="C44" s="12" t="s">
        <v>201</v>
      </c>
      <c r="D44" s="12" t="s">
        <v>22</v>
      </c>
      <c r="E44" s="11">
        <v>3.082392911E9</v>
      </c>
      <c r="F44" s="12" t="s">
        <v>84</v>
      </c>
      <c r="G44" s="12" t="s">
        <v>202</v>
      </c>
    </row>
    <row r="45">
      <c r="A45" s="11">
        <v>43.0</v>
      </c>
      <c r="B45" s="12" t="s">
        <v>203</v>
      </c>
      <c r="C45" s="12" t="s">
        <v>204</v>
      </c>
      <c r="D45" s="12" t="s">
        <v>22</v>
      </c>
      <c r="E45" s="12" t="s">
        <v>207</v>
      </c>
      <c r="F45" s="12" t="s">
        <v>204</v>
      </c>
      <c r="G45" s="12" t="s">
        <v>42</v>
      </c>
    </row>
    <row r="46">
      <c r="A46" s="11">
        <v>44.0</v>
      </c>
      <c r="B46" s="12" t="s">
        <v>208</v>
      </c>
      <c r="C46" s="12" t="s">
        <v>210</v>
      </c>
      <c r="D46" s="12" t="s">
        <v>22</v>
      </c>
      <c r="E46" s="11">
        <v>3.225242519E9</v>
      </c>
      <c r="F46" s="12" t="s">
        <v>84</v>
      </c>
      <c r="G46" s="12" t="s">
        <v>212</v>
      </c>
    </row>
    <row r="47">
      <c r="A47" s="11">
        <v>45.0</v>
      </c>
      <c r="B47" s="12" t="s">
        <v>213</v>
      </c>
      <c r="C47" s="12" t="s">
        <v>214</v>
      </c>
      <c r="D47" s="12" t="s">
        <v>22</v>
      </c>
      <c r="E47" s="11">
        <v>3.122022131E9</v>
      </c>
      <c r="F47" s="12" t="s">
        <v>31</v>
      </c>
      <c r="G47" s="12" t="s">
        <v>68</v>
      </c>
    </row>
    <row r="48">
      <c r="A48" s="11">
        <v>46.0</v>
      </c>
      <c r="B48" s="12" t="s">
        <v>215</v>
      </c>
      <c r="C48" s="12" t="s">
        <v>192</v>
      </c>
      <c r="D48" s="12" t="s">
        <v>22</v>
      </c>
      <c r="E48" s="11">
        <v>3.218236086E9</v>
      </c>
      <c r="F48" s="12" t="s">
        <v>67</v>
      </c>
      <c r="G48" s="12" t="s">
        <v>194</v>
      </c>
    </row>
    <row r="49">
      <c r="A49" s="11">
        <v>47.0</v>
      </c>
      <c r="B49" s="12" t="s">
        <v>218</v>
      </c>
      <c r="C49" s="12" t="s">
        <v>219</v>
      </c>
      <c r="D49" s="12" t="s">
        <v>22</v>
      </c>
      <c r="E49" s="12" t="s">
        <v>221</v>
      </c>
      <c r="F49" s="12" t="s">
        <v>219</v>
      </c>
      <c r="G49" s="12" t="s">
        <v>25</v>
      </c>
    </row>
    <row r="50">
      <c r="A50" s="11">
        <v>48.0</v>
      </c>
      <c r="B50" s="12" t="s">
        <v>222</v>
      </c>
      <c r="C50" s="12" t="s">
        <v>223</v>
      </c>
      <c r="D50" s="12" t="s">
        <v>22</v>
      </c>
      <c r="E50" s="11">
        <v>3.472024241E9</v>
      </c>
      <c r="F50" s="12" t="s">
        <v>136</v>
      </c>
      <c r="G50" s="12" t="s">
        <v>89</v>
      </c>
    </row>
    <row r="51">
      <c r="A51" s="11">
        <v>49.0</v>
      </c>
      <c r="B51" s="12" t="s">
        <v>224</v>
      </c>
      <c r="C51" s="12" t="s">
        <v>225</v>
      </c>
      <c r="D51" s="12" t="s">
        <v>22</v>
      </c>
      <c r="E51" s="12" t="s">
        <v>228</v>
      </c>
      <c r="F51" s="12" t="s">
        <v>225</v>
      </c>
      <c r="G51" s="12" t="s">
        <v>25</v>
      </c>
    </row>
    <row r="52">
      <c r="A52" s="11">
        <v>50.0</v>
      </c>
      <c r="B52" s="12" t="s">
        <v>229</v>
      </c>
      <c r="C52" s="12" t="s">
        <v>231</v>
      </c>
      <c r="D52" s="12" t="s">
        <v>22</v>
      </c>
      <c r="E52" s="11">
        <v>3.100124243E9</v>
      </c>
      <c r="F52" s="12" t="s">
        <v>116</v>
      </c>
      <c r="G52" s="12" t="s">
        <v>68</v>
      </c>
    </row>
    <row r="53">
      <c r="A53" s="11">
        <v>51.0</v>
      </c>
      <c r="B53" s="12" t="s">
        <v>233</v>
      </c>
      <c r="C53" s="12" t="s">
        <v>234</v>
      </c>
      <c r="D53" s="12" t="s">
        <v>22</v>
      </c>
      <c r="E53" s="11">
        <v>3.333753062E9</v>
      </c>
      <c r="F53" s="12" t="s">
        <v>84</v>
      </c>
      <c r="G53" s="12" t="s">
        <v>235</v>
      </c>
    </row>
    <row r="54">
      <c r="A54" s="11">
        <v>52.0</v>
      </c>
      <c r="B54" s="12" t="s">
        <v>236</v>
      </c>
      <c r="C54" s="12" t="s">
        <v>237</v>
      </c>
      <c r="D54" s="12" t="s">
        <v>22</v>
      </c>
      <c r="E54" s="11">
        <v>8.458840293E9</v>
      </c>
      <c r="F54" s="12" t="s">
        <v>179</v>
      </c>
      <c r="G54" s="12" t="s">
        <v>239</v>
      </c>
    </row>
    <row r="55">
      <c r="A55" s="11">
        <v>53.0</v>
      </c>
      <c r="B55" s="12" t="s">
        <v>242</v>
      </c>
      <c r="C55" s="12" t="s">
        <v>169</v>
      </c>
      <c r="D55" s="12" t="s">
        <v>22</v>
      </c>
      <c r="E55" s="11">
        <v>3.1320545E7</v>
      </c>
      <c r="F55" s="12" t="s">
        <v>116</v>
      </c>
      <c r="G55" s="12" t="s">
        <v>243</v>
      </c>
    </row>
    <row r="56">
      <c r="A56" s="11">
        <v>54.0</v>
      </c>
      <c r="B56" s="12" t="s">
        <v>244</v>
      </c>
      <c r="C56" s="12" t="s">
        <v>245</v>
      </c>
      <c r="D56" s="12" t="s">
        <v>22</v>
      </c>
      <c r="E56" s="11">
        <v>3.032408601E9</v>
      </c>
      <c r="F56" s="12" t="s">
        <v>116</v>
      </c>
      <c r="G56" s="12" t="s">
        <v>246</v>
      </c>
    </row>
    <row r="57">
      <c r="A57" s="11">
        <v>55.0</v>
      </c>
      <c r="B57" s="12" t="s">
        <v>247</v>
      </c>
      <c r="C57" s="12" t="s">
        <v>249</v>
      </c>
      <c r="D57" s="12" t="s">
        <v>22</v>
      </c>
      <c r="E57" s="11">
        <v>3.222691156E9</v>
      </c>
      <c r="F57" s="12" t="s">
        <v>84</v>
      </c>
      <c r="G57" s="12" t="s">
        <v>77</v>
      </c>
    </row>
    <row r="58">
      <c r="A58" s="11">
        <v>56.0</v>
      </c>
      <c r="B58" s="12" t="s">
        <v>252</v>
      </c>
      <c r="C58" s="12" t="s">
        <v>253</v>
      </c>
      <c r="D58" s="12" t="s">
        <v>22</v>
      </c>
      <c r="E58" s="11">
        <v>3.181262815E9</v>
      </c>
      <c r="F58" s="12" t="s">
        <v>254</v>
      </c>
      <c r="G58" s="12" t="s">
        <v>77</v>
      </c>
    </row>
    <row r="59">
      <c r="A59" s="11">
        <v>57.0</v>
      </c>
      <c r="B59" s="12" t="s">
        <v>255</v>
      </c>
      <c r="C59" s="12" t="s">
        <v>70</v>
      </c>
      <c r="D59" s="12" t="s">
        <v>22</v>
      </c>
      <c r="E59" s="11">
        <v>3.166786021E9</v>
      </c>
      <c r="F59" s="12" t="s">
        <v>84</v>
      </c>
      <c r="G59" s="12" t="s">
        <v>68</v>
      </c>
    </row>
    <row r="60">
      <c r="A60" s="11">
        <v>58.0</v>
      </c>
      <c r="B60" s="12" t="s">
        <v>259</v>
      </c>
      <c r="C60" s="12" t="s">
        <v>260</v>
      </c>
      <c r="D60" s="12" t="s">
        <v>22</v>
      </c>
      <c r="E60" s="11">
        <v>3.042777123E9</v>
      </c>
      <c r="F60" s="12" t="s">
        <v>67</v>
      </c>
      <c r="G60" s="12" t="s">
        <v>89</v>
      </c>
    </row>
    <row r="61">
      <c r="A61" s="11">
        <v>59.0</v>
      </c>
      <c r="B61" s="12" t="s">
        <v>261</v>
      </c>
      <c r="C61" s="12" t="s">
        <v>262</v>
      </c>
      <c r="D61" s="12" t="s">
        <v>22</v>
      </c>
      <c r="E61" s="11">
        <v>3.081974631E9</v>
      </c>
      <c r="F61" s="12" t="s">
        <v>72</v>
      </c>
      <c r="G61" s="12" t="s">
        <v>68</v>
      </c>
    </row>
    <row r="62">
      <c r="A62" s="11">
        <v>60.0</v>
      </c>
      <c r="B62" s="12" t="s">
        <v>266</v>
      </c>
      <c r="C62" s="12" t="s">
        <v>267</v>
      </c>
      <c r="D62" s="12" t="s">
        <v>22</v>
      </c>
      <c r="E62" s="11">
        <v>3.332401844E9</v>
      </c>
      <c r="F62" s="12" t="s">
        <v>267</v>
      </c>
      <c r="G62" s="12" t="s">
        <v>25</v>
      </c>
    </row>
    <row r="63">
      <c r="A63" s="11">
        <v>61.0</v>
      </c>
      <c r="B63" s="12" t="s">
        <v>268</v>
      </c>
      <c r="C63" s="12" t="s">
        <v>269</v>
      </c>
      <c r="D63" s="12" t="s">
        <v>22</v>
      </c>
      <c r="E63" s="11">
        <v>3.090619162E9</v>
      </c>
      <c r="F63" s="12" t="s">
        <v>84</v>
      </c>
      <c r="G63" s="12" t="s">
        <v>77</v>
      </c>
    </row>
    <row r="64">
      <c r="A64" s="11">
        <v>62.0</v>
      </c>
      <c r="B64" s="12" t="s">
        <v>270</v>
      </c>
      <c r="C64" s="12" t="s">
        <v>271</v>
      </c>
      <c r="D64" s="12" t="s">
        <v>22</v>
      </c>
      <c r="E64" s="11">
        <v>3.332401844E9</v>
      </c>
      <c r="F64" s="12" t="s">
        <v>72</v>
      </c>
      <c r="G64" s="12" t="s">
        <v>68</v>
      </c>
    </row>
    <row r="65">
      <c r="A65" s="11">
        <v>63.0</v>
      </c>
      <c r="B65" s="12" t="s">
        <v>274</v>
      </c>
      <c r="C65" s="12" t="s">
        <v>275</v>
      </c>
      <c r="D65" s="12" t="s">
        <v>22</v>
      </c>
      <c r="E65" s="11">
        <v>3.113337075E9</v>
      </c>
      <c r="F65" s="12" t="s">
        <v>59</v>
      </c>
      <c r="G65" s="12" t="s">
        <v>77</v>
      </c>
    </row>
    <row r="66">
      <c r="A66" s="11">
        <v>64.0</v>
      </c>
      <c r="B66" s="12" t="s">
        <v>276</v>
      </c>
      <c r="C66" s="12" t="s">
        <v>70</v>
      </c>
      <c r="D66" s="12" t="s">
        <v>22</v>
      </c>
      <c r="E66" s="11">
        <v>3.166786021E9</v>
      </c>
      <c r="F66" s="12" t="s">
        <v>104</v>
      </c>
      <c r="G66" s="12" t="s">
        <v>68</v>
      </c>
    </row>
    <row r="67">
      <c r="A67" s="11">
        <v>65.0</v>
      </c>
      <c r="B67" s="12" t="s">
        <v>277</v>
      </c>
      <c r="C67" s="12" t="s">
        <v>260</v>
      </c>
      <c r="D67" s="12" t="s">
        <v>22</v>
      </c>
      <c r="E67" s="11">
        <v>3.042777123E9</v>
      </c>
      <c r="F67" s="12" t="s">
        <v>279</v>
      </c>
      <c r="G67" s="12" t="s">
        <v>89</v>
      </c>
    </row>
    <row r="68">
      <c r="A68" s="11">
        <v>66.0</v>
      </c>
      <c r="B68" s="12" t="s">
        <v>283</v>
      </c>
      <c r="C68" s="12" t="s">
        <v>65</v>
      </c>
      <c r="D68" s="12" t="s">
        <v>22</v>
      </c>
      <c r="E68" s="11">
        <v>3.012953358E9</v>
      </c>
      <c r="F68" s="12" t="s">
        <v>31</v>
      </c>
      <c r="G68" s="12" t="s">
        <v>68</v>
      </c>
    </row>
    <row r="69">
      <c r="A69" s="11">
        <v>67.0</v>
      </c>
      <c r="B69" s="12" t="s">
        <v>284</v>
      </c>
      <c r="C69" s="12" t="s">
        <v>285</v>
      </c>
      <c r="D69" s="12" t="s">
        <v>22</v>
      </c>
      <c r="E69" s="11">
        <v>3.463013722E9</v>
      </c>
      <c r="F69" s="12" t="s">
        <v>142</v>
      </c>
      <c r="G69" s="12" t="s">
        <v>286</v>
      </c>
    </row>
    <row r="70">
      <c r="A70" s="11">
        <v>68.0</v>
      </c>
      <c r="B70" s="12" t="s">
        <v>287</v>
      </c>
      <c r="C70" s="12" t="s">
        <v>288</v>
      </c>
      <c r="D70" s="12" t="s">
        <v>22</v>
      </c>
      <c r="E70" s="11">
        <v>3.152930595E9</v>
      </c>
      <c r="F70" s="12" t="s">
        <v>204</v>
      </c>
      <c r="G70" s="12" t="s">
        <v>42</v>
      </c>
    </row>
    <row r="71">
      <c r="A71" s="11">
        <v>69.0</v>
      </c>
      <c r="B71" s="12" t="s">
        <v>293</v>
      </c>
      <c r="C71" s="12" t="s">
        <v>294</v>
      </c>
      <c r="D71" s="12" t="s">
        <v>22</v>
      </c>
      <c r="E71" s="11">
        <v>3.158393425E9</v>
      </c>
      <c r="F71" s="12" t="s">
        <v>31</v>
      </c>
      <c r="G71" s="12" t="s">
        <v>77</v>
      </c>
    </row>
    <row r="72">
      <c r="A72" s="11">
        <v>70.0</v>
      </c>
      <c r="B72" s="12" t="s">
        <v>295</v>
      </c>
      <c r="C72" s="12" t="s">
        <v>297</v>
      </c>
      <c r="D72" s="12" t="s">
        <v>22</v>
      </c>
      <c r="E72" s="11">
        <v>3.142931237E9</v>
      </c>
      <c r="F72" s="12" t="s">
        <v>84</v>
      </c>
      <c r="G72" s="12" t="s">
        <v>68</v>
      </c>
    </row>
    <row r="73">
      <c r="A73" s="11">
        <v>71.0</v>
      </c>
      <c r="B73" s="12" t="s">
        <v>301</v>
      </c>
      <c r="C73" s="12" t="s">
        <v>302</v>
      </c>
      <c r="D73" s="12" t="s">
        <v>22</v>
      </c>
      <c r="E73" s="11">
        <v>3.085106723E9</v>
      </c>
      <c r="F73" s="12" t="s">
        <v>31</v>
      </c>
      <c r="G73" s="12" t="s">
        <v>303</v>
      </c>
    </row>
    <row r="74">
      <c r="A74" s="11">
        <v>72.0</v>
      </c>
      <c r="B74" s="12" t="s">
        <v>304</v>
      </c>
      <c r="C74" s="12" t="s">
        <v>44</v>
      </c>
      <c r="D74" s="12" t="s">
        <v>22</v>
      </c>
      <c r="E74" s="11">
        <v>3.049962429E9</v>
      </c>
      <c r="F74" s="12" t="s">
        <v>305</v>
      </c>
      <c r="G74" s="12" t="s">
        <v>25</v>
      </c>
    </row>
    <row r="75">
      <c r="A75" s="11">
        <v>73.0</v>
      </c>
      <c r="B75" s="12" t="s">
        <v>306</v>
      </c>
      <c r="C75" s="12" t="s">
        <v>308</v>
      </c>
      <c r="D75" s="12" t="s">
        <v>22</v>
      </c>
      <c r="E75" s="12" t="s">
        <v>311</v>
      </c>
      <c r="F75" s="12" t="s">
        <v>156</v>
      </c>
      <c r="G75" s="12" t="s">
        <v>77</v>
      </c>
    </row>
    <row r="76">
      <c r="A76" s="11">
        <v>74.0</v>
      </c>
      <c r="B76" s="12" t="s">
        <v>313</v>
      </c>
      <c r="C76" s="12" t="s">
        <v>192</v>
      </c>
      <c r="D76" s="12" t="s">
        <v>22</v>
      </c>
      <c r="E76" s="11">
        <v>3.218236086E9</v>
      </c>
      <c r="F76" s="12" t="s">
        <v>104</v>
      </c>
      <c r="G76" s="12" t="s">
        <v>194</v>
      </c>
    </row>
    <row r="77">
      <c r="A77" s="11">
        <v>75.0</v>
      </c>
      <c r="B77" s="12" t="s">
        <v>314</v>
      </c>
      <c r="C77" s="12" t="s">
        <v>315</v>
      </c>
      <c r="D77" s="12" t="s">
        <v>22</v>
      </c>
      <c r="E77" s="11">
        <v>3.029635921E9</v>
      </c>
      <c r="F77" s="12" t="s">
        <v>84</v>
      </c>
      <c r="G77" s="12" t="s">
        <v>42</v>
      </c>
    </row>
    <row r="78">
      <c r="A78" s="11">
        <v>76.0</v>
      </c>
      <c r="B78" s="12" t="s">
        <v>320</v>
      </c>
      <c r="C78" s="12" t="s">
        <v>321</v>
      </c>
      <c r="D78" s="12" t="s">
        <v>22</v>
      </c>
      <c r="E78" s="11">
        <v>3.21221326E9</v>
      </c>
      <c r="F78" s="12" t="s">
        <v>84</v>
      </c>
      <c r="G78" s="12" t="s">
        <v>77</v>
      </c>
    </row>
    <row r="79">
      <c r="A79" s="11">
        <v>77.0</v>
      </c>
      <c r="B79" s="12" t="s">
        <v>322</v>
      </c>
      <c r="C79" s="12" t="s">
        <v>323</v>
      </c>
      <c r="D79" s="12" t="s">
        <v>22</v>
      </c>
      <c r="E79" s="11">
        <v>3.371509139E9</v>
      </c>
      <c r="F79" s="12" t="s">
        <v>156</v>
      </c>
      <c r="G79" s="12" t="s">
        <v>324</v>
      </c>
    </row>
    <row r="80">
      <c r="A80" s="11">
        <v>78.0</v>
      </c>
      <c r="B80" s="12" t="s">
        <v>154</v>
      </c>
      <c r="C80" s="12" t="s">
        <v>326</v>
      </c>
      <c r="D80" s="12" t="s">
        <v>22</v>
      </c>
      <c r="E80" s="11">
        <v>3.026135919E9</v>
      </c>
      <c r="F80" s="12" t="s">
        <v>326</v>
      </c>
      <c r="G80" s="12" t="s">
        <v>25</v>
      </c>
    </row>
    <row r="81">
      <c r="A81" s="11">
        <v>79.0</v>
      </c>
      <c r="B81" s="12" t="s">
        <v>328</v>
      </c>
      <c r="C81" s="12" t="s">
        <v>329</v>
      </c>
      <c r="D81" s="12" t="s">
        <v>22</v>
      </c>
      <c r="E81" s="11">
        <v>3.212995491E9</v>
      </c>
      <c r="F81" s="12" t="s">
        <v>84</v>
      </c>
      <c r="G81" s="12" t="s">
        <v>89</v>
      </c>
    </row>
    <row r="82">
      <c r="A82" s="11">
        <v>80.0</v>
      </c>
      <c r="B82" s="12" t="s">
        <v>330</v>
      </c>
      <c r="C82" s="12" t="s">
        <v>332</v>
      </c>
      <c r="D82" s="12" t="s">
        <v>22</v>
      </c>
      <c r="E82" s="11">
        <v>3.036761966E9</v>
      </c>
      <c r="F82" s="12" t="s">
        <v>332</v>
      </c>
      <c r="G82" s="12" t="s">
        <v>91</v>
      </c>
    </row>
    <row r="83">
      <c r="A83" s="11">
        <v>81.0</v>
      </c>
      <c r="B83" s="12" t="s">
        <v>336</v>
      </c>
      <c r="C83" s="12" t="s">
        <v>337</v>
      </c>
      <c r="D83" s="12" t="s">
        <v>22</v>
      </c>
      <c r="E83" s="11">
        <v>3.022561906E9</v>
      </c>
      <c r="F83" s="12" t="s">
        <v>84</v>
      </c>
      <c r="G83" s="12" t="s">
        <v>77</v>
      </c>
    </row>
    <row r="84">
      <c r="A84" s="11">
        <v>82.0</v>
      </c>
      <c r="B84" s="12" t="s">
        <v>338</v>
      </c>
      <c r="C84" s="12" t="s">
        <v>339</v>
      </c>
      <c r="D84" s="12" t="s">
        <v>22</v>
      </c>
      <c r="E84" s="11">
        <v>3.232266717E9</v>
      </c>
      <c r="F84" s="12" t="s">
        <v>84</v>
      </c>
      <c r="G84" s="12" t="s">
        <v>77</v>
      </c>
    </row>
    <row r="85">
      <c r="A85" s="11">
        <v>83.0</v>
      </c>
      <c r="B85" s="12" t="s">
        <v>338</v>
      </c>
      <c r="C85" s="12" t="s">
        <v>341</v>
      </c>
      <c r="D85" s="12" t="s">
        <v>22</v>
      </c>
      <c r="E85" s="11">
        <v>3.456068789E9</v>
      </c>
      <c r="F85" s="12" t="s">
        <v>84</v>
      </c>
      <c r="G85" s="12" t="s">
        <v>345</v>
      </c>
    </row>
    <row r="86">
      <c r="A86" s="11">
        <v>84.0</v>
      </c>
      <c r="B86" s="12" t="s">
        <v>346</v>
      </c>
      <c r="C86" s="12" t="s">
        <v>193</v>
      </c>
      <c r="D86" s="12" t="s">
        <v>22</v>
      </c>
      <c r="E86" s="11">
        <v>3.218236086E9</v>
      </c>
      <c r="F86" s="12" t="s">
        <v>193</v>
      </c>
      <c r="G86" s="12" t="s">
        <v>25</v>
      </c>
    </row>
    <row r="87">
      <c r="A87" s="11">
        <v>85.0</v>
      </c>
      <c r="B87" s="12" t="s">
        <v>347</v>
      </c>
      <c r="C87" s="12" t="s">
        <v>70</v>
      </c>
      <c r="D87" s="12" t="s">
        <v>22</v>
      </c>
      <c r="E87" s="11">
        <v>3.453320679E9</v>
      </c>
      <c r="F87" s="12" t="s">
        <v>88</v>
      </c>
      <c r="G87" s="12" t="s">
        <v>89</v>
      </c>
    </row>
    <row r="88">
      <c r="A88" s="11">
        <v>86.0</v>
      </c>
      <c r="B88" s="12" t="s">
        <v>352</v>
      </c>
      <c r="C88" s="12" t="s">
        <v>353</v>
      </c>
      <c r="D88" s="12" t="s">
        <v>22</v>
      </c>
      <c r="E88" s="11">
        <v>3.455160181E9</v>
      </c>
      <c r="F88" s="12" t="s">
        <v>354</v>
      </c>
      <c r="G88" s="12" t="s">
        <v>77</v>
      </c>
    </row>
    <row r="89">
      <c r="A89" s="11">
        <v>87.0</v>
      </c>
      <c r="B89" s="12" t="s">
        <v>355</v>
      </c>
      <c r="C89" s="12" t="s">
        <v>356</v>
      </c>
      <c r="D89" s="12" t="s">
        <v>22</v>
      </c>
      <c r="E89" s="11">
        <v>3.225987299E9</v>
      </c>
      <c r="F89" s="12" t="s">
        <v>358</v>
      </c>
      <c r="G89" s="12" t="s">
        <v>360</v>
      </c>
    </row>
    <row r="90">
      <c r="A90" s="11">
        <v>88.0</v>
      </c>
      <c r="B90" s="12" t="s">
        <v>363</v>
      </c>
      <c r="C90" s="12" t="s">
        <v>364</v>
      </c>
      <c r="D90" s="12" t="s">
        <v>22</v>
      </c>
      <c r="E90" s="11">
        <v>3.482122005E9</v>
      </c>
      <c r="F90" s="12" t="s">
        <v>116</v>
      </c>
      <c r="G90" s="12" t="s">
        <v>365</v>
      </c>
    </row>
    <row r="91">
      <c r="A91" s="11">
        <v>89.0</v>
      </c>
      <c r="B91" s="12" t="s">
        <v>363</v>
      </c>
      <c r="C91" s="12" t="s">
        <v>67</v>
      </c>
      <c r="D91" s="12" t="s">
        <v>22</v>
      </c>
      <c r="E91" s="11">
        <v>3.218236086E9</v>
      </c>
      <c r="F91" s="12" t="s">
        <v>67</v>
      </c>
      <c r="G91" s="12" t="s">
        <v>25</v>
      </c>
    </row>
    <row r="92">
      <c r="A92" s="11">
        <v>90.0</v>
      </c>
      <c r="B92" s="12" t="s">
        <v>366</v>
      </c>
      <c r="C92" s="12" t="s">
        <v>245</v>
      </c>
      <c r="D92" s="12" t="s">
        <v>22</v>
      </c>
      <c r="E92" s="11">
        <v>3.453036646E9</v>
      </c>
      <c r="F92" s="12" t="s">
        <v>84</v>
      </c>
      <c r="G92" s="12" t="s">
        <v>42</v>
      </c>
    </row>
    <row r="93">
      <c r="A93" s="11">
        <v>91.0</v>
      </c>
      <c r="B93" s="12" t="s">
        <v>371</v>
      </c>
      <c r="C93" s="12" t="s">
        <v>372</v>
      </c>
      <c r="D93" s="12" t="s">
        <v>22</v>
      </c>
      <c r="E93" s="12" t="s">
        <v>39</v>
      </c>
      <c r="F93" s="12" t="s">
        <v>90</v>
      </c>
      <c r="G93" s="12" t="s">
        <v>77</v>
      </c>
    </row>
    <row r="94">
      <c r="A94" s="11">
        <v>92.0</v>
      </c>
      <c r="B94" s="12" t="s">
        <v>371</v>
      </c>
      <c r="C94" s="12" t="s">
        <v>373</v>
      </c>
      <c r="D94" s="12" t="s">
        <v>22</v>
      </c>
      <c r="E94" s="11">
        <v>3.372109433E9</v>
      </c>
      <c r="F94" s="12" t="s">
        <v>373</v>
      </c>
      <c r="G94" s="12" t="s">
        <v>25</v>
      </c>
    </row>
    <row r="95">
      <c r="A95" s="11">
        <v>93.0</v>
      </c>
      <c r="B95" s="12" t="s">
        <v>374</v>
      </c>
      <c r="C95" s="12" t="s">
        <v>373</v>
      </c>
      <c r="D95" s="12" t="s">
        <v>22</v>
      </c>
      <c r="E95" s="11">
        <v>3.372109433E9</v>
      </c>
      <c r="F95" s="12" t="s">
        <v>373</v>
      </c>
      <c r="G95" s="12" t="s">
        <v>25</v>
      </c>
    </row>
    <row r="96">
      <c r="A96" s="11">
        <v>94.0</v>
      </c>
      <c r="B96" s="12" t="s">
        <v>379</v>
      </c>
      <c r="C96" s="12" t="s">
        <v>74</v>
      </c>
      <c r="D96" s="12" t="s">
        <v>22</v>
      </c>
      <c r="E96" s="11">
        <v>3.332391909E9</v>
      </c>
      <c r="F96" s="12" t="s">
        <v>23</v>
      </c>
      <c r="G96" s="12" t="s">
        <v>77</v>
      </c>
    </row>
    <row r="97">
      <c r="A97" s="11">
        <v>95.0</v>
      </c>
      <c r="B97" s="12" t="s">
        <v>380</v>
      </c>
      <c r="C97" s="12" t="s">
        <v>381</v>
      </c>
      <c r="D97" s="12" t="s">
        <v>22</v>
      </c>
      <c r="E97" s="11">
        <v>3.059997773E9</v>
      </c>
      <c r="F97" s="12" t="s">
        <v>84</v>
      </c>
      <c r="G97" s="12" t="s">
        <v>382</v>
      </c>
    </row>
    <row r="98">
      <c r="A98" s="11">
        <v>96.0</v>
      </c>
      <c r="B98" s="12" t="s">
        <v>383</v>
      </c>
      <c r="C98" s="12" t="s">
        <v>384</v>
      </c>
      <c r="D98" s="12" t="s">
        <v>22</v>
      </c>
      <c r="E98" s="11">
        <v>3.422892223E9</v>
      </c>
      <c r="F98" s="12" t="s">
        <v>72</v>
      </c>
      <c r="G98" s="12" t="s">
        <v>68</v>
      </c>
    </row>
    <row r="99">
      <c r="A99" s="11">
        <v>97.0</v>
      </c>
      <c r="B99" s="12" t="s">
        <v>386</v>
      </c>
      <c r="C99" s="12" t="s">
        <v>388</v>
      </c>
      <c r="D99" s="12" t="s">
        <v>22</v>
      </c>
      <c r="E99" s="11">
        <v>3.136070544E9</v>
      </c>
      <c r="F99" s="12" t="s">
        <v>391</v>
      </c>
      <c r="G99" s="12" t="s">
        <v>68</v>
      </c>
    </row>
    <row r="100">
      <c r="A100" s="11">
        <v>98.0</v>
      </c>
      <c r="B100" s="12" t="s">
        <v>386</v>
      </c>
      <c r="C100" s="12" t="s">
        <v>388</v>
      </c>
      <c r="D100" s="12" t="s">
        <v>22</v>
      </c>
      <c r="E100" s="11">
        <v>3.136070544E9</v>
      </c>
      <c r="F100" s="12" t="s">
        <v>391</v>
      </c>
      <c r="G100" s="12" t="s">
        <v>42</v>
      </c>
    </row>
    <row r="101">
      <c r="A101" s="11">
        <v>99.0</v>
      </c>
      <c r="B101" s="12" t="s">
        <v>297</v>
      </c>
      <c r="C101" s="12" t="s">
        <v>392</v>
      </c>
      <c r="D101" s="12" t="s">
        <v>22</v>
      </c>
      <c r="E101" s="11">
        <v>3.142931237E9</v>
      </c>
      <c r="F101" s="12" t="s">
        <v>84</v>
      </c>
      <c r="G101" s="12" t="s">
        <v>68</v>
      </c>
    </row>
    <row r="102">
      <c r="A102" s="11">
        <v>100.0</v>
      </c>
      <c r="B102" s="12" t="s">
        <v>395</v>
      </c>
      <c r="C102" s="12" t="s">
        <v>341</v>
      </c>
      <c r="D102" s="12" t="s">
        <v>22</v>
      </c>
      <c r="E102" s="11">
        <v>3.456068789E9</v>
      </c>
      <c r="F102" s="12" t="s">
        <v>84</v>
      </c>
      <c r="G102" s="12" t="s">
        <v>345</v>
      </c>
    </row>
    <row r="103">
      <c r="A103" s="11">
        <v>101.0</v>
      </c>
      <c r="B103" s="12" t="s">
        <v>398</v>
      </c>
      <c r="C103" s="12" t="s">
        <v>399</v>
      </c>
      <c r="D103" s="12" t="s">
        <v>22</v>
      </c>
      <c r="E103" s="11">
        <v>3.118037439E9</v>
      </c>
      <c r="F103" s="12" t="s">
        <v>116</v>
      </c>
      <c r="G103" s="12" t="s">
        <v>68</v>
      </c>
    </row>
    <row r="104">
      <c r="A104" s="11">
        <v>102.0</v>
      </c>
      <c r="B104" s="12" t="s">
        <v>400</v>
      </c>
      <c r="C104" s="12" t="s">
        <v>401</v>
      </c>
      <c r="D104" s="12" t="s">
        <v>22</v>
      </c>
      <c r="E104" s="11">
        <v>3.333627264E9</v>
      </c>
      <c r="F104" s="12" t="s">
        <v>51</v>
      </c>
      <c r="G104" s="12" t="s">
        <v>77</v>
      </c>
    </row>
    <row r="105">
      <c r="A105" s="11">
        <v>103.0</v>
      </c>
      <c r="B105" s="12" t="s">
        <v>400</v>
      </c>
      <c r="C105" s="12" t="s">
        <v>404</v>
      </c>
      <c r="D105" s="12" t="s">
        <v>22</v>
      </c>
      <c r="E105" s="11">
        <v>3.030075604E9</v>
      </c>
      <c r="F105" s="12" t="s">
        <v>358</v>
      </c>
      <c r="G105" s="12" t="s">
        <v>25</v>
      </c>
    </row>
    <row r="106">
      <c r="A106" s="11">
        <v>104.0</v>
      </c>
      <c r="B106" s="12" t="s">
        <v>406</v>
      </c>
      <c r="C106" s="12" t="s">
        <v>271</v>
      </c>
      <c r="D106" s="12" t="s">
        <v>22</v>
      </c>
      <c r="E106" s="11">
        <v>3.332401844E9</v>
      </c>
      <c r="F106" s="35">
        <v>46059.0</v>
      </c>
      <c r="G106" s="12" t="s">
        <v>68</v>
      </c>
    </row>
    <row r="107">
      <c r="A107" s="11">
        <v>105.0</v>
      </c>
      <c r="B107" s="12" t="s">
        <v>408</v>
      </c>
      <c r="C107" s="12" t="s">
        <v>50</v>
      </c>
      <c r="D107" s="12" t="s">
        <v>22</v>
      </c>
      <c r="E107" s="11">
        <v>3.265900816E9</v>
      </c>
      <c r="F107" s="12" t="s">
        <v>139</v>
      </c>
      <c r="G107" s="12" t="s">
        <v>77</v>
      </c>
    </row>
    <row r="108">
      <c r="A108" s="11">
        <v>106.0</v>
      </c>
      <c r="B108" s="12" t="s">
        <v>409</v>
      </c>
      <c r="C108" s="12" t="s">
        <v>411</v>
      </c>
      <c r="D108" s="12" t="s">
        <v>22</v>
      </c>
      <c r="E108" s="11">
        <v>3.152695161E9</v>
      </c>
      <c r="F108" s="12" t="s">
        <v>84</v>
      </c>
      <c r="G108" s="12" t="s">
        <v>413</v>
      </c>
    </row>
    <row r="109">
      <c r="A109" s="11">
        <v>107.0</v>
      </c>
      <c r="B109" s="12" t="s">
        <v>414</v>
      </c>
      <c r="C109" s="12" t="s">
        <v>415</v>
      </c>
      <c r="D109" s="12" t="s">
        <v>22</v>
      </c>
      <c r="E109" s="11">
        <v>3.078225577E9</v>
      </c>
      <c r="F109" s="12" t="s">
        <v>84</v>
      </c>
      <c r="G109" s="12" t="s">
        <v>418</v>
      </c>
    </row>
    <row r="110">
      <c r="A110" s="11">
        <v>108.0</v>
      </c>
      <c r="B110" s="12" t="s">
        <v>419</v>
      </c>
      <c r="C110" s="12" t="s">
        <v>275</v>
      </c>
      <c r="D110" s="12" t="s">
        <v>22</v>
      </c>
      <c r="E110" s="11">
        <v>3.113337075E9</v>
      </c>
      <c r="F110" s="12" t="s">
        <v>420</v>
      </c>
      <c r="G110" s="12" t="s">
        <v>77</v>
      </c>
    </row>
    <row r="111">
      <c r="A111" s="11">
        <v>109.0</v>
      </c>
      <c r="B111" s="12" t="s">
        <v>421</v>
      </c>
      <c r="C111" s="12" t="s">
        <v>423</v>
      </c>
      <c r="D111" s="12" t="s">
        <v>22</v>
      </c>
      <c r="E111" s="11">
        <v>3.218944236E9</v>
      </c>
      <c r="F111" s="12" t="s">
        <v>72</v>
      </c>
      <c r="G111" s="12" t="s">
        <v>176</v>
      </c>
    </row>
    <row r="112">
      <c r="A112" s="11">
        <v>110.0</v>
      </c>
      <c r="B112" s="12" t="s">
        <v>424</v>
      </c>
      <c r="C112" s="12" t="s">
        <v>72</v>
      </c>
      <c r="D112" s="12" t="s">
        <v>22</v>
      </c>
      <c r="E112" s="11">
        <v>3.453113981E9</v>
      </c>
      <c r="F112" s="12" t="s">
        <v>72</v>
      </c>
      <c r="G112" s="12" t="s">
        <v>77</v>
      </c>
    </row>
    <row r="113">
      <c r="A113" s="11">
        <v>111.0</v>
      </c>
      <c r="B113" s="12" t="s">
        <v>427</v>
      </c>
      <c r="C113" s="12" t="s">
        <v>428</v>
      </c>
      <c r="D113" s="12" t="s">
        <v>22</v>
      </c>
      <c r="E113" s="11">
        <v>3.132640851E9</v>
      </c>
      <c r="F113" s="12" t="s">
        <v>354</v>
      </c>
      <c r="G113" s="12" t="s">
        <v>429</v>
      </c>
    </row>
    <row r="114">
      <c r="A114" s="11">
        <v>112.0</v>
      </c>
      <c r="B114" s="12" t="s">
        <v>431</v>
      </c>
      <c r="C114" s="12" t="s">
        <v>373</v>
      </c>
      <c r="D114" s="12" t="s">
        <v>22</v>
      </c>
      <c r="E114" s="12" t="s">
        <v>207</v>
      </c>
      <c r="F114" s="12" t="s">
        <v>373</v>
      </c>
      <c r="G114" s="12" t="s">
        <v>42</v>
      </c>
    </row>
    <row r="115">
      <c r="A115" s="11">
        <v>113.0</v>
      </c>
      <c r="B115" s="12" t="s">
        <v>434</v>
      </c>
      <c r="C115" s="12" t="s">
        <v>435</v>
      </c>
      <c r="D115" s="12" t="s">
        <v>22</v>
      </c>
      <c r="E115" s="11">
        <v>3.343015039E9</v>
      </c>
      <c r="F115" s="12" t="s">
        <v>67</v>
      </c>
      <c r="G115" s="12" t="s">
        <v>436</v>
      </c>
    </row>
    <row r="116">
      <c r="A116" s="11">
        <v>114.0</v>
      </c>
      <c r="B116" s="12" t="s">
        <v>437</v>
      </c>
      <c r="C116" s="12" t="s">
        <v>438</v>
      </c>
      <c r="D116" s="12" t="s">
        <v>22</v>
      </c>
      <c r="E116" s="11">
        <v>3.143040436E9</v>
      </c>
      <c r="F116" s="12" t="s">
        <v>31</v>
      </c>
      <c r="G116" s="12" t="s">
        <v>439</v>
      </c>
    </row>
    <row r="117">
      <c r="A117" s="11">
        <v>115.0</v>
      </c>
      <c r="B117" s="12" t="s">
        <v>437</v>
      </c>
      <c r="C117" s="12" t="s">
        <v>440</v>
      </c>
      <c r="D117" s="12" t="s">
        <v>22</v>
      </c>
      <c r="E117" s="11">
        <v>3.352418692E9</v>
      </c>
      <c r="F117" s="12" t="s">
        <v>156</v>
      </c>
      <c r="G117" s="12" t="s">
        <v>443</v>
      </c>
    </row>
    <row r="118">
      <c r="A118" s="11">
        <v>116.0</v>
      </c>
      <c r="B118" s="12" t="s">
        <v>444</v>
      </c>
      <c r="C118" s="12" t="s">
        <v>446</v>
      </c>
      <c r="D118" s="12" t="s">
        <v>22</v>
      </c>
      <c r="E118" s="11">
        <v>3.100124243E9</v>
      </c>
      <c r="F118" s="12" t="s">
        <v>116</v>
      </c>
      <c r="G118" s="12" t="s">
        <v>448</v>
      </c>
    </row>
    <row r="119">
      <c r="A119" s="11">
        <v>117.0</v>
      </c>
      <c r="B119" s="12" t="s">
        <v>444</v>
      </c>
      <c r="C119" s="12" t="s">
        <v>428</v>
      </c>
      <c r="D119" s="12" t="s">
        <v>22</v>
      </c>
      <c r="E119" s="11">
        <v>3.132040875E9</v>
      </c>
      <c r="F119" s="12" t="s">
        <v>449</v>
      </c>
      <c r="G119" s="12" t="s">
        <v>429</v>
      </c>
    </row>
    <row r="120">
      <c r="A120" s="11">
        <v>118.0</v>
      </c>
      <c r="B120" s="12" t="s">
        <v>452</v>
      </c>
      <c r="C120" s="12" t="s">
        <v>98</v>
      </c>
      <c r="D120" s="12" t="s">
        <v>22</v>
      </c>
      <c r="E120" s="11">
        <v>3.362367862E9</v>
      </c>
      <c r="F120" s="12" t="s">
        <v>116</v>
      </c>
      <c r="G120" s="12" t="s">
        <v>455</v>
      </c>
    </row>
    <row r="121">
      <c r="A121" s="11">
        <v>119.0</v>
      </c>
      <c r="B121" s="12" t="s">
        <v>456</v>
      </c>
      <c r="C121" s="12" t="s">
        <v>457</v>
      </c>
      <c r="D121" s="12" t="s">
        <v>22</v>
      </c>
      <c r="E121" s="11">
        <v>3.343907561E9</v>
      </c>
      <c r="F121" s="12" t="s">
        <v>458</v>
      </c>
      <c r="G121" s="12" t="s">
        <v>47</v>
      </c>
    </row>
    <row r="122">
      <c r="A122" s="11">
        <v>120.0</v>
      </c>
      <c r="B122" s="12" t="s">
        <v>459</v>
      </c>
      <c r="C122" s="12" t="s">
        <v>460</v>
      </c>
      <c r="D122" s="12" t="s">
        <v>22</v>
      </c>
      <c r="E122" s="12" t="s">
        <v>461</v>
      </c>
      <c r="F122" s="12" t="s">
        <v>142</v>
      </c>
      <c r="G122" s="12" t="s">
        <v>77</v>
      </c>
    </row>
    <row r="123">
      <c r="A123" s="11">
        <v>121.0</v>
      </c>
      <c r="B123" s="12" t="s">
        <v>464</v>
      </c>
      <c r="C123" s="12" t="s">
        <v>466</v>
      </c>
      <c r="D123" s="12" t="s">
        <v>22</v>
      </c>
      <c r="E123" s="11">
        <v>3.032288606E9</v>
      </c>
      <c r="F123" s="12" t="s">
        <v>466</v>
      </c>
      <c r="G123" s="12" t="s">
        <v>25</v>
      </c>
    </row>
    <row r="124">
      <c r="A124" s="11">
        <v>122.0</v>
      </c>
      <c r="B124" s="12" t="s">
        <v>467</v>
      </c>
      <c r="C124" s="12" t="s">
        <v>88</v>
      </c>
      <c r="D124" s="12" t="s">
        <v>22</v>
      </c>
      <c r="E124" s="11">
        <v>3.342266011E9</v>
      </c>
      <c r="F124" s="12" t="s">
        <v>88</v>
      </c>
      <c r="G124" s="12" t="s">
        <v>77</v>
      </c>
    </row>
    <row r="125">
      <c r="A125" s="11">
        <v>123.0</v>
      </c>
      <c r="B125" s="12" t="s">
        <v>468</v>
      </c>
      <c r="C125" s="12" t="s">
        <v>115</v>
      </c>
      <c r="D125" s="12" t="s">
        <v>22</v>
      </c>
      <c r="E125" s="11">
        <v>3.073562071E9</v>
      </c>
      <c r="F125" s="12" t="s">
        <v>31</v>
      </c>
      <c r="G125" s="12" t="s">
        <v>77</v>
      </c>
    </row>
    <row r="126">
      <c r="A126" s="11">
        <v>124.0</v>
      </c>
      <c r="B126" s="12" t="s">
        <v>471</v>
      </c>
      <c r="C126" s="12" t="s">
        <v>315</v>
      </c>
      <c r="D126" s="12" t="s">
        <v>22</v>
      </c>
      <c r="E126" s="11">
        <v>3.029635921E9</v>
      </c>
      <c r="F126" s="12" t="s">
        <v>84</v>
      </c>
      <c r="G126" s="12" t="s">
        <v>472</v>
      </c>
    </row>
    <row r="127">
      <c r="A127" s="11">
        <v>125.0</v>
      </c>
      <c r="B127" s="12" t="s">
        <v>473</v>
      </c>
      <c r="C127" s="12" t="s">
        <v>65</v>
      </c>
      <c r="D127" s="12" t="s">
        <v>22</v>
      </c>
      <c r="E127" s="11">
        <v>3.43372692E9</v>
      </c>
      <c r="F127" s="12" t="s">
        <v>305</v>
      </c>
      <c r="G127" s="12" t="s">
        <v>77</v>
      </c>
    </row>
    <row r="128">
      <c r="A128" s="11">
        <v>126.0</v>
      </c>
      <c r="B128" s="12" t="s">
        <v>474</v>
      </c>
      <c r="C128" s="12" t="s">
        <v>475</v>
      </c>
      <c r="D128" s="12" t="s">
        <v>22</v>
      </c>
      <c r="E128" s="11">
        <v>3.052102634E9</v>
      </c>
      <c r="F128" s="12" t="s">
        <v>480</v>
      </c>
      <c r="G128" s="12" t="s">
        <v>25</v>
      </c>
    </row>
    <row r="129">
      <c r="A129" s="11">
        <v>127.0</v>
      </c>
      <c r="B129" s="12" t="s">
        <v>481</v>
      </c>
      <c r="C129" s="12" t="s">
        <v>482</v>
      </c>
      <c r="D129" s="12" t="s">
        <v>22</v>
      </c>
      <c r="E129" s="11">
        <v>3.472518879E9</v>
      </c>
      <c r="F129" s="12" t="s">
        <v>449</v>
      </c>
      <c r="G129" s="12" t="s">
        <v>360</v>
      </c>
    </row>
    <row r="130">
      <c r="A130" s="11">
        <v>128.0</v>
      </c>
      <c r="B130" s="12" t="s">
        <v>483</v>
      </c>
      <c r="C130" s="12" t="s">
        <v>440</v>
      </c>
      <c r="D130" s="12" t="s">
        <v>22</v>
      </c>
      <c r="E130" s="11">
        <v>3.4728782E8</v>
      </c>
      <c r="F130" s="12" t="s">
        <v>67</v>
      </c>
      <c r="G130" s="12" t="s">
        <v>68</v>
      </c>
    </row>
    <row r="131">
      <c r="A131" s="11">
        <v>129.0</v>
      </c>
      <c r="B131" s="12" t="s">
        <v>486</v>
      </c>
      <c r="C131" s="12" t="s">
        <v>488</v>
      </c>
      <c r="D131" s="12" t="s">
        <v>22</v>
      </c>
      <c r="E131" s="11">
        <v>3.462142968E9</v>
      </c>
      <c r="F131" s="12" t="s">
        <v>156</v>
      </c>
      <c r="G131" s="12" t="s">
        <v>490</v>
      </c>
    </row>
    <row r="132">
      <c r="A132" s="11">
        <v>130.0</v>
      </c>
      <c r="B132" s="12" t="s">
        <v>491</v>
      </c>
      <c r="C132" s="12" t="s">
        <v>492</v>
      </c>
      <c r="D132" s="12" t="s">
        <v>22</v>
      </c>
      <c r="E132" s="11">
        <v>3.2145741723E10</v>
      </c>
      <c r="F132" s="12" t="s">
        <v>84</v>
      </c>
      <c r="G132" s="12" t="s">
        <v>77</v>
      </c>
    </row>
    <row r="133">
      <c r="A133" s="11">
        <v>131.0</v>
      </c>
      <c r="B133" s="12" t="s">
        <v>493</v>
      </c>
      <c r="C133" s="12" t="s">
        <v>494</v>
      </c>
      <c r="D133" s="12" t="s">
        <v>22</v>
      </c>
      <c r="E133" s="11">
        <v>3.473697588E9</v>
      </c>
      <c r="F133" s="12" t="s">
        <v>31</v>
      </c>
      <c r="G133" s="12" t="s">
        <v>382</v>
      </c>
    </row>
    <row r="134">
      <c r="A134" s="11">
        <v>132.0</v>
      </c>
      <c r="B134" s="12" t="s">
        <v>498</v>
      </c>
      <c r="C134" s="12" t="s">
        <v>167</v>
      </c>
      <c r="D134" s="12" t="s">
        <v>22</v>
      </c>
      <c r="E134" s="11">
        <v>3.215140863E9</v>
      </c>
      <c r="F134" s="12" t="s">
        <v>72</v>
      </c>
      <c r="G134" s="12" t="s">
        <v>68</v>
      </c>
    </row>
    <row r="135">
      <c r="A135" s="11">
        <v>133.0</v>
      </c>
      <c r="B135" s="12" t="s">
        <v>500</v>
      </c>
      <c r="C135" s="12" t="s">
        <v>501</v>
      </c>
      <c r="D135" s="12" t="s">
        <v>22</v>
      </c>
      <c r="E135" s="11">
        <v>3.42678925E9</v>
      </c>
      <c r="F135" s="12" t="s">
        <v>501</v>
      </c>
      <c r="G135" s="12" t="s">
        <v>77</v>
      </c>
    </row>
    <row r="136">
      <c r="A136" s="11">
        <v>134.0</v>
      </c>
      <c r="B136" s="12" t="s">
        <v>502</v>
      </c>
      <c r="C136" s="12" t="s">
        <v>503</v>
      </c>
      <c r="D136" s="12" t="s">
        <v>22</v>
      </c>
      <c r="E136" s="11">
        <v>3.022236201E9</v>
      </c>
      <c r="F136" s="12" t="s">
        <v>84</v>
      </c>
      <c r="G136" s="12" t="s">
        <v>77</v>
      </c>
    </row>
    <row r="137">
      <c r="A137" s="11">
        <v>135.0</v>
      </c>
      <c r="B137" s="12" t="s">
        <v>504</v>
      </c>
      <c r="C137" s="12" t="s">
        <v>506</v>
      </c>
      <c r="D137" s="12" t="s">
        <v>22</v>
      </c>
      <c r="E137" s="11">
        <v>3.057600418E9</v>
      </c>
      <c r="F137" s="12" t="s">
        <v>179</v>
      </c>
      <c r="G137" s="12" t="s">
        <v>68</v>
      </c>
    </row>
    <row r="138">
      <c r="A138" s="11">
        <v>136.0</v>
      </c>
      <c r="B138" s="12" t="s">
        <v>509</v>
      </c>
      <c r="C138" s="12" t="s">
        <v>294</v>
      </c>
      <c r="D138" s="12" t="s">
        <v>22</v>
      </c>
      <c r="E138" s="11">
        <v>3.158393425E9</v>
      </c>
      <c r="F138" s="12" t="s">
        <v>72</v>
      </c>
      <c r="G138" s="12" t="s">
        <v>77</v>
      </c>
    </row>
    <row r="139">
      <c r="A139" s="11">
        <v>137.0</v>
      </c>
      <c r="B139" s="12" t="s">
        <v>510</v>
      </c>
      <c r="C139" s="12" t="s">
        <v>511</v>
      </c>
      <c r="D139" s="12" t="s">
        <v>22</v>
      </c>
      <c r="E139" s="11">
        <v>3.056876041E9</v>
      </c>
      <c r="F139" s="12" t="s">
        <v>373</v>
      </c>
      <c r="G139" s="12" t="s">
        <v>47</v>
      </c>
    </row>
    <row r="140">
      <c r="A140" s="11">
        <v>138.0</v>
      </c>
      <c r="B140" s="12" t="s">
        <v>516</v>
      </c>
      <c r="C140" s="12" t="s">
        <v>196</v>
      </c>
      <c r="D140" s="12" t="s">
        <v>22</v>
      </c>
      <c r="E140" s="11">
        <v>3.082392911E9</v>
      </c>
      <c r="F140" s="12" t="s">
        <v>31</v>
      </c>
      <c r="G140" s="12" t="s">
        <v>517</v>
      </c>
    </row>
    <row r="141">
      <c r="A141" s="11">
        <v>139.0</v>
      </c>
      <c r="B141" s="12" t="s">
        <v>518</v>
      </c>
      <c r="C141" s="12" t="s">
        <v>196</v>
      </c>
      <c r="D141" s="12" t="s">
        <v>22</v>
      </c>
      <c r="E141" s="11">
        <v>3.082392911E9</v>
      </c>
      <c r="F141" s="12" t="s">
        <v>72</v>
      </c>
      <c r="G141" s="12" t="s">
        <v>89</v>
      </c>
    </row>
    <row r="142">
      <c r="A142" s="11">
        <v>140.0</v>
      </c>
      <c r="B142" s="12" t="s">
        <v>519</v>
      </c>
      <c r="C142" s="12" t="s">
        <v>520</v>
      </c>
      <c r="D142" s="12" t="s">
        <v>22</v>
      </c>
      <c r="E142" s="11">
        <v>3.301860787E9</v>
      </c>
      <c r="F142" s="12" t="s">
        <v>67</v>
      </c>
      <c r="G142" s="12" t="s">
        <v>68</v>
      </c>
    </row>
    <row r="143">
      <c r="A143" s="11">
        <v>141.0</v>
      </c>
      <c r="B143" s="12" t="s">
        <v>525</v>
      </c>
      <c r="C143" s="12" t="s">
        <v>526</v>
      </c>
      <c r="D143" s="12" t="s">
        <v>22</v>
      </c>
      <c r="E143" s="11">
        <v>3.141234421E9</v>
      </c>
      <c r="F143" s="12" t="s">
        <v>84</v>
      </c>
      <c r="G143" s="12" t="s">
        <v>25</v>
      </c>
    </row>
    <row r="144">
      <c r="A144" s="11">
        <v>142.0</v>
      </c>
      <c r="B144" s="12" t="s">
        <v>527</v>
      </c>
      <c r="C144" s="12" t="s">
        <v>528</v>
      </c>
      <c r="D144" s="12" t="s">
        <v>529</v>
      </c>
      <c r="E144" s="11">
        <v>3.333748996E9</v>
      </c>
      <c r="F144" s="12" t="s">
        <v>530</v>
      </c>
      <c r="G144" s="12" t="s">
        <v>25</v>
      </c>
    </row>
    <row r="145">
      <c r="A145" s="11">
        <v>143.0</v>
      </c>
      <c r="B145" s="12" t="s">
        <v>533</v>
      </c>
      <c r="C145" s="12" t="s">
        <v>65</v>
      </c>
      <c r="D145" s="12" t="s">
        <v>22</v>
      </c>
      <c r="E145" s="11">
        <v>3.43372692E9</v>
      </c>
      <c r="F145" s="12" t="s">
        <v>536</v>
      </c>
      <c r="G145" s="12" t="s">
        <v>537</v>
      </c>
    </row>
    <row r="146">
      <c r="A146" s="11">
        <v>144.0</v>
      </c>
      <c r="B146" s="12" t="s">
        <v>538</v>
      </c>
      <c r="C146" s="12" t="s">
        <v>190</v>
      </c>
      <c r="D146" s="12" t="s">
        <v>22</v>
      </c>
      <c r="E146" s="11">
        <v>3.15584398E9</v>
      </c>
      <c r="F146" s="12" t="s">
        <v>193</v>
      </c>
      <c r="G146" s="12" t="s">
        <v>68</v>
      </c>
    </row>
    <row r="147">
      <c r="A147" s="11">
        <v>145.0</v>
      </c>
      <c r="B147" s="12" t="s">
        <v>539</v>
      </c>
      <c r="C147" s="12" t="s">
        <v>71</v>
      </c>
      <c r="D147" s="12" t="s">
        <v>22</v>
      </c>
      <c r="E147" s="11">
        <v>3.323055789E9</v>
      </c>
      <c r="F147" s="12" t="s">
        <v>179</v>
      </c>
      <c r="G147" s="12" t="s">
        <v>68</v>
      </c>
    </row>
    <row r="148">
      <c r="A148" s="11">
        <v>146.0</v>
      </c>
      <c r="B148" s="12" t="s">
        <v>543</v>
      </c>
      <c r="C148" s="12" t="s">
        <v>544</v>
      </c>
      <c r="D148" s="12" t="s">
        <v>22</v>
      </c>
      <c r="E148" s="11">
        <v>8.458840293E9</v>
      </c>
      <c r="F148" s="12" t="s">
        <v>84</v>
      </c>
      <c r="G148" s="12" t="s">
        <v>239</v>
      </c>
    </row>
    <row r="149">
      <c r="A149" s="11">
        <v>147.0</v>
      </c>
      <c r="B149" s="12" t="s">
        <v>545</v>
      </c>
      <c r="C149" s="12" t="s">
        <v>546</v>
      </c>
      <c r="D149" s="12" t="s">
        <v>22</v>
      </c>
      <c r="E149" s="11">
        <v>3.022561906E9</v>
      </c>
      <c r="F149" s="12" t="s">
        <v>84</v>
      </c>
      <c r="G149" s="12" t="s">
        <v>77</v>
      </c>
    </row>
    <row r="150">
      <c r="A150" s="11">
        <v>148.0</v>
      </c>
      <c r="B150" s="12" t="s">
        <v>551</v>
      </c>
      <c r="C150" s="12" t="s">
        <v>552</v>
      </c>
      <c r="D150" s="12" t="s">
        <v>22</v>
      </c>
      <c r="E150" s="11">
        <v>3.121247199E9</v>
      </c>
      <c r="F150" s="12" t="s">
        <v>466</v>
      </c>
      <c r="G150" s="12" t="s">
        <v>286</v>
      </c>
    </row>
    <row r="151">
      <c r="A151" s="11">
        <v>149.0</v>
      </c>
      <c r="B151" s="12" t="s">
        <v>553</v>
      </c>
      <c r="C151" s="12" t="s">
        <v>555</v>
      </c>
      <c r="D151" s="12" t="s">
        <v>22</v>
      </c>
      <c r="E151" s="11">
        <v>3.042197389E9</v>
      </c>
      <c r="F151" s="12" t="s">
        <v>88</v>
      </c>
      <c r="G151" s="12" t="s">
        <v>559</v>
      </c>
    </row>
    <row r="152">
      <c r="A152" s="11">
        <v>150.0</v>
      </c>
      <c r="B152" s="12" t="s">
        <v>562</v>
      </c>
      <c r="C152" s="12" t="s">
        <v>564</v>
      </c>
      <c r="D152" s="12" t="s">
        <v>22</v>
      </c>
      <c r="E152" s="11">
        <v>3.278277181E9</v>
      </c>
      <c r="F152" s="12" t="s">
        <v>84</v>
      </c>
      <c r="G152" s="12" t="s">
        <v>25</v>
      </c>
    </row>
    <row r="153">
      <c r="A153" s="11">
        <v>151.0</v>
      </c>
      <c r="B153" s="12" t="s">
        <v>570</v>
      </c>
      <c r="C153" s="12" t="s">
        <v>72</v>
      </c>
      <c r="D153" s="12" t="s">
        <v>22</v>
      </c>
      <c r="E153" s="12" t="s">
        <v>106</v>
      </c>
      <c r="F153" s="12" t="s">
        <v>72</v>
      </c>
      <c r="G153" s="12" t="s">
        <v>144</v>
      </c>
    </row>
    <row r="154">
      <c r="A154" s="11">
        <v>152.0</v>
      </c>
      <c r="B154" s="12" t="s">
        <v>574</v>
      </c>
      <c r="C154" s="12" t="s">
        <v>576</v>
      </c>
      <c r="D154" s="12" t="s">
        <v>22</v>
      </c>
      <c r="E154" s="11">
        <v>3.068741957E9</v>
      </c>
      <c r="F154" s="12" t="s">
        <v>23</v>
      </c>
      <c r="G154" s="12" t="s">
        <v>77</v>
      </c>
    </row>
    <row r="155">
      <c r="A155" s="11">
        <v>153.0</v>
      </c>
      <c r="B155" s="12" t="s">
        <v>577</v>
      </c>
      <c r="C155" s="12" t="s">
        <v>579</v>
      </c>
      <c r="D155" s="12" t="s">
        <v>22</v>
      </c>
      <c r="E155" s="11">
        <v>3.08277672E8</v>
      </c>
      <c r="F155" s="12" t="s">
        <v>84</v>
      </c>
      <c r="G155" s="12" t="s">
        <v>581</v>
      </c>
    </row>
    <row r="156">
      <c r="A156" s="11">
        <v>154.0</v>
      </c>
      <c r="B156" s="12" t="s">
        <v>582</v>
      </c>
      <c r="C156" s="12" t="s">
        <v>583</v>
      </c>
      <c r="D156" s="12" t="s">
        <v>22</v>
      </c>
      <c r="E156" s="11">
        <v>3.492408965E9</v>
      </c>
      <c r="F156" s="12" t="s">
        <v>84</v>
      </c>
      <c r="G156" s="12" t="s">
        <v>413</v>
      </c>
    </row>
    <row r="157">
      <c r="A157" s="11">
        <v>155.0</v>
      </c>
      <c r="B157" s="12" t="s">
        <v>585</v>
      </c>
      <c r="C157" s="12" t="s">
        <v>586</v>
      </c>
      <c r="D157" s="12" t="s">
        <v>22</v>
      </c>
      <c r="E157" s="11">
        <v>3.478529416E9</v>
      </c>
      <c r="F157" s="12" t="s">
        <v>142</v>
      </c>
      <c r="G157" s="12" t="s">
        <v>77</v>
      </c>
    </row>
    <row r="158">
      <c r="A158" s="11">
        <v>156.0</v>
      </c>
      <c r="B158" s="12" t="s">
        <v>587</v>
      </c>
      <c r="C158" s="12" t="s">
        <v>588</v>
      </c>
      <c r="D158" s="12" t="s">
        <v>22</v>
      </c>
      <c r="E158" s="11">
        <v>3.11357309E9</v>
      </c>
      <c r="F158" s="12" t="s">
        <v>84</v>
      </c>
      <c r="G158" s="12" t="s">
        <v>591</v>
      </c>
    </row>
    <row r="159">
      <c r="A159" s="11">
        <v>157.0</v>
      </c>
      <c r="B159" s="12" t="s">
        <v>592</v>
      </c>
      <c r="C159" s="12" t="s">
        <v>223</v>
      </c>
      <c r="D159" s="12" t="s">
        <v>22</v>
      </c>
      <c r="E159" s="11">
        <v>3.472024241E9</v>
      </c>
      <c r="F159" s="12" t="s">
        <v>156</v>
      </c>
      <c r="G159" s="12" t="s">
        <v>413</v>
      </c>
    </row>
    <row r="160">
      <c r="A160" s="11">
        <v>158.0</v>
      </c>
      <c r="B160" s="12" t="s">
        <v>595</v>
      </c>
      <c r="C160" s="12" t="s">
        <v>182</v>
      </c>
      <c r="D160" s="12" t="s">
        <v>596</v>
      </c>
      <c r="E160" s="11">
        <v>3.46857025E9</v>
      </c>
      <c r="F160" s="12" t="s">
        <v>305</v>
      </c>
      <c r="G160" s="12" t="s">
        <v>597</v>
      </c>
    </row>
    <row r="161">
      <c r="A161" s="11">
        <v>159.0</v>
      </c>
      <c r="B161" s="12" t="s">
        <v>598</v>
      </c>
      <c r="C161" s="12" t="s">
        <v>599</v>
      </c>
      <c r="D161" s="12" t="s">
        <v>596</v>
      </c>
      <c r="E161" s="11">
        <v>3.43339799E9</v>
      </c>
      <c r="F161" s="12" t="s">
        <v>84</v>
      </c>
      <c r="G161" s="12" t="s">
        <v>47</v>
      </c>
    </row>
    <row r="162">
      <c r="A162" s="11">
        <v>160.0</v>
      </c>
      <c r="B162" s="12" t="s">
        <v>600</v>
      </c>
      <c r="C162" s="12" t="s">
        <v>602</v>
      </c>
      <c r="D162" s="12" t="s">
        <v>596</v>
      </c>
      <c r="E162" s="11">
        <v>3.43339799E9</v>
      </c>
      <c r="F162" s="12" t="s">
        <v>84</v>
      </c>
      <c r="G162" s="12" t="s">
        <v>603</v>
      </c>
    </row>
    <row r="163">
      <c r="A163" s="11">
        <v>161.0</v>
      </c>
      <c r="B163" s="12" t="s">
        <v>604</v>
      </c>
      <c r="C163" s="12" t="s">
        <v>224</v>
      </c>
      <c r="D163" s="12" t="s">
        <v>596</v>
      </c>
      <c r="E163" s="11">
        <v>3.092558232E10</v>
      </c>
      <c r="F163" s="12" t="s">
        <v>51</v>
      </c>
      <c r="G163" s="12" t="s">
        <v>605</v>
      </c>
    </row>
    <row r="164">
      <c r="A164" s="11">
        <v>162.0</v>
      </c>
      <c r="B164" s="12" t="s">
        <v>606</v>
      </c>
      <c r="C164" s="12" t="s">
        <v>48</v>
      </c>
      <c r="D164" s="12" t="s">
        <v>596</v>
      </c>
      <c r="E164" s="11">
        <v>2.3145190772E10</v>
      </c>
      <c r="F164" s="12" t="s">
        <v>84</v>
      </c>
      <c r="G164" s="12" t="s">
        <v>345</v>
      </c>
    </row>
    <row r="165">
      <c r="A165" s="11">
        <v>163.0</v>
      </c>
      <c r="B165" s="12" t="s">
        <v>611</v>
      </c>
      <c r="C165" s="12" t="s">
        <v>285</v>
      </c>
      <c r="D165" s="12" t="s">
        <v>596</v>
      </c>
      <c r="E165" s="11">
        <v>2.3145190772E10</v>
      </c>
      <c r="F165" s="12" t="s">
        <v>72</v>
      </c>
      <c r="G165" s="12" t="s">
        <v>77</v>
      </c>
    </row>
    <row r="166">
      <c r="A166" s="11">
        <v>164.0</v>
      </c>
      <c r="B166" s="12" t="s">
        <v>612</v>
      </c>
      <c r="C166" s="12" t="s">
        <v>613</v>
      </c>
      <c r="D166" s="12" t="s">
        <v>596</v>
      </c>
      <c r="E166" s="11">
        <v>3.362881055E9</v>
      </c>
      <c r="F166" s="12" t="s">
        <v>616</v>
      </c>
      <c r="G166" s="12" t="s">
        <v>25</v>
      </c>
    </row>
    <row r="167">
      <c r="A167" s="11">
        <v>165.0</v>
      </c>
      <c r="B167" s="12" t="s">
        <v>617</v>
      </c>
      <c r="C167" s="12" t="s">
        <v>492</v>
      </c>
      <c r="D167" s="12" t="s">
        <v>596</v>
      </c>
      <c r="E167" s="11">
        <v>3.333753062E9</v>
      </c>
      <c r="F167" s="12" t="s">
        <v>116</v>
      </c>
      <c r="G167" s="12" t="s">
        <v>619</v>
      </c>
    </row>
    <row r="168">
      <c r="A168" s="11">
        <v>166.0</v>
      </c>
      <c r="B168" s="12" t="s">
        <v>621</v>
      </c>
      <c r="C168" s="12" t="s">
        <v>622</v>
      </c>
      <c r="D168" s="12" t="s">
        <v>596</v>
      </c>
      <c r="E168" s="11">
        <v>3.022425205E9</v>
      </c>
      <c r="F168" s="12" t="s">
        <v>84</v>
      </c>
      <c r="G168" s="12" t="s">
        <v>47</v>
      </c>
    </row>
    <row r="169">
      <c r="A169" s="11">
        <v>167.0</v>
      </c>
      <c r="B169" s="12" t="s">
        <v>623</v>
      </c>
      <c r="C169" s="12" t="s">
        <v>63</v>
      </c>
      <c r="D169" s="12" t="s">
        <v>596</v>
      </c>
      <c r="E169" s="11">
        <v>3.412354477E9</v>
      </c>
      <c r="F169" s="12" t="s">
        <v>84</v>
      </c>
      <c r="G169" s="12" t="s">
        <v>47</v>
      </c>
    </row>
    <row r="170">
      <c r="A170" s="11">
        <v>168.0</v>
      </c>
      <c r="B170" s="12" t="s">
        <v>624</v>
      </c>
      <c r="C170" s="12" t="s">
        <v>178</v>
      </c>
      <c r="D170" s="12" t="s">
        <v>596</v>
      </c>
      <c r="E170" s="11">
        <v>3.352254143E9</v>
      </c>
      <c r="F170" s="12" t="s">
        <v>31</v>
      </c>
      <c r="G170" s="12" t="s">
        <v>47</v>
      </c>
    </row>
    <row r="171">
      <c r="A171" s="11">
        <v>169.0</v>
      </c>
      <c r="B171" s="12" t="s">
        <v>627</v>
      </c>
      <c r="C171" s="12" t="s">
        <v>576</v>
      </c>
      <c r="D171" s="12" t="s">
        <v>596</v>
      </c>
      <c r="E171" s="11">
        <v>3.068741957E9</v>
      </c>
      <c r="F171" s="12" t="s">
        <v>628</v>
      </c>
      <c r="G171" s="12" t="s">
        <v>629</v>
      </c>
    </row>
    <row r="172">
      <c r="A172" s="11">
        <v>170.0</v>
      </c>
      <c r="B172" s="12" t="s">
        <v>630</v>
      </c>
      <c r="C172" s="12" t="s">
        <v>249</v>
      </c>
      <c r="D172" s="12" t="s">
        <v>596</v>
      </c>
      <c r="E172" s="11">
        <v>3.222691156E9</v>
      </c>
      <c r="F172" s="12" t="s">
        <v>84</v>
      </c>
      <c r="G172" s="12" t="s">
        <v>77</v>
      </c>
    </row>
    <row r="173">
      <c r="A173" s="11">
        <v>171.0</v>
      </c>
      <c r="B173" s="12" t="s">
        <v>632</v>
      </c>
      <c r="C173" s="12" t="s">
        <v>81</v>
      </c>
      <c r="D173" s="12" t="s">
        <v>596</v>
      </c>
      <c r="E173" s="12" t="s">
        <v>84</v>
      </c>
      <c r="F173" s="12" t="s">
        <v>81</v>
      </c>
      <c r="G173" s="12" t="s">
        <v>47</v>
      </c>
    </row>
    <row r="174">
      <c r="A174" s="11">
        <v>172.0</v>
      </c>
      <c r="B174" s="12" t="s">
        <v>633</v>
      </c>
      <c r="C174" s="12" t="s">
        <v>275</v>
      </c>
      <c r="D174" s="12" t="s">
        <v>596</v>
      </c>
      <c r="E174" s="11">
        <v>3.113337075E9</v>
      </c>
      <c r="F174" s="12" t="s">
        <v>616</v>
      </c>
      <c r="G174" s="12" t="s">
        <v>77</v>
      </c>
    </row>
    <row r="175">
      <c r="A175" s="11">
        <v>173.0</v>
      </c>
      <c r="B175" s="12" t="s">
        <v>634</v>
      </c>
      <c r="C175" s="12" t="s">
        <v>635</v>
      </c>
      <c r="D175" s="12" t="s">
        <v>596</v>
      </c>
      <c r="E175" s="12" t="s">
        <v>221</v>
      </c>
      <c r="F175" s="12" t="s">
        <v>635</v>
      </c>
      <c r="G175" s="12" t="s">
        <v>25</v>
      </c>
    </row>
    <row r="176">
      <c r="A176" s="11">
        <v>174.0</v>
      </c>
      <c r="B176" s="12" t="s">
        <v>638</v>
      </c>
      <c r="C176" s="12" t="s">
        <v>639</v>
      </c>
      <c r="D176" s="12" t="s">
        <v>596</v>
      </c>
      <c r="E176" s="11">
        <v>3.467791707E9</v>
      </c>
      <c r="F176" s="12" t="s">
        <v>84</v>
      </c>
      <c r="G176" s="12" t="s">
        <v>152</v>
      </c>
    </row>
    <row r="177">
      <c r="A177" s="11">
        <v>175.0</v>
      </c>
      <c r="B177" s="12" t="s">
        <v>640</v>
      </c>
      <c r="C177" s="12" t="s">
        <v>641</v>
      </c>
      <c r="D177" s="12" t="s">
        <v>596</v>
      </c>
      <c r="E177" s="11">
        <v>3.155081868E9</v>
      </c>
      <c r="F177" s="12" t="s">
        <v>84</v>
      </c>
      <c r="G177" s="12" t="s">
        <v>603</v>
      </c>
    </row>
    <row r="178">
      <c r="A178" s="11">
        <v>176.0</v>
      </c>
      <c r="B178" s="12" t="s">
        <v>642</v>
      </c>
      <c r="C178" s="12" t="s">
        <v>643</v>
      </c>
      <c r="D178" s="12" t="s">
        <v>596</v>
      </c>
      <c r="E178" s="11">
        <v>3.122102235E9</v>
      </c>
      <c r="F178" s="12" t="s">
        <v>84</v>
      </c>
      <c r="G178" s="12" t="s">
        <v>644</v>
      </c>
    </row>
    <row r="179">
      <c r="A179" s="11">
        <v>177.0</v>
      </c>
      <c r="B179" s="12" t="s">
        <v>645</v>
      </c>
      <c r="C179" s="12" t="s">
        <v>646</v>
      </c>
      <c r="D179" s="12" t="s">
        <v>596</v>
      </c>
      <c r="E179" s="11">
        <v>3.262143986E9</v>
      </c>
      <c r="F179" s="12" t="s">
        <v>67</v>
      </c>
      <c r="G179" s="12" t="s">
        <v>176</v>
      </c>
    </row>
    <row r="180">
      <c r="A180" s="11">
        <v>178.0</v>
      </c>
      <c r="B180" s="12" t="s">
        <v>647</v>
      </c>
      <c r="C180" s="12" t="s">
        <v>648</v>
      </c>
      <c r="D180" s="12" t="s">
        <v>596</v>
      </c>
      <c r="E180" s="11">
        <v>3.312385373E9</v>
      </c>
      <c r="F180" s="12" t="s">
        <v>84</v>
      </c>
      <c r="G180" s="12" t="s">
        <v>152</v>
      </c>
    </row>
    <row r="181">
      <c r="A181" s="11">
        <v>179.0</v>
      </c>
      <c r="B181" s="12" t="s">
        <v>649</v>
      </c>
      <c r="C181" s="12" t="s">
        <v>650</v>
      </c>
      <c r="D181" s="12" t="s">
        <v>596</v>
      </c>
      <c r="E181" s="11">
        <v>3.363880279E9</v>
      </c>
      <c r="F181" s="12" t="s">
        <v>84</v>
      </c>
      <c r="G181" s="12" t="s">
        <v>418</v>
      </c>
    </row>
    <row r="182">
      <c r="A182" s="11">
        <v>180.0</v>
      </c>
      <c r="B182" s="12" t="s">
        <v>651</v>
      </c>
      <c r="C182" s="12" t="s">
        <v>652</v>
      </c>
      <c r="D182" s="12" t="s">
        <v>596</v>
      </c>
      <c r="E182" s="11">
        <v>3.14328766E8</v>
      </c>
      <c r="F182" s="12" t="s">
        <v>84</v>
      </c>
      <c r="G182" s="12" t="s">
        <v>653</v>
      </c>
    </row>
    <row r="183">
      <c r="A183" s="11">
        <v>181.0</v>
      </c>
      <c r="B183" s="12" t="s">
        <v>654</v>
      </c>
      <c r="C183" s="12" t="s">
        <v>655</v>
      </c>
      <c r="D183" s="12" t="s">
        <v>596</v>
      </c>
      <c r="E183" s="11">
        <v>3.003337959E9</v>
      </c>
      <c r="F183" s="12" t="s">
        <v>179</v>
      </c>
      <c r="G183" s="12" t="s">
        <v>68</v>
      </c>
    </row>
    <row r="184">
      <c r="A184" s="11">
        <v>182.0</v>
      </c>
      <c r="B184" s="12" t="s">
        <v>656</v>
      </c>
      <c r="C184" s="12" t="s">
        <v>657</v>
      </c>
      <c r="D184" s="12" t="s">
        <v>596</v>
      </c>
      <c r="E184" s="11">
        <v>3.54376179E9</v>
      </c>
      <c r="F184" s="12" t="s">
        <v>658</v>
      </c>
      <c r="G184" s="12" t="s">
        <v>77</v>
      </c>
    </row>
    <row r="185">
      <c r="A185" s="11">
        <v>183.0</v>
      </c>
      <c r="B185" s="12" t="s">
        <v>659</v>
      </c>
      <c r="C185" s="12" t="s">
        <v>660</v>
      </c>
      <c r="D185" s="12" t="s">
        <v>596</v>
      </c>
      <c r="E185" s="11">
        <v>3.088207157E9</v>
      </c>
      <c r="F185" s="12" t="s">
        <v>84</v>
      </c>
      <c r="G185" s="12" t="s">
        <v>77</v>
      </c>
    </row>
    <row r="186">
      <c r="A186" s="11">
        <v>184.0</v>
      </c>
      <c r="B186" s="12" t="s">
        <v>661</v>
      </c>
      <c r="C186" s="12" t="s">
        <v>341</v>
      </c>
      <c r="D186" s="12" t="s">
        <v>596</v>
      </c>
      <c r="E186" s="11">
        <v>3.456068789E9</v>
      </c>
      <c r="F186" s="12" t="s">
        <v>84</v>
      </c>
      <c r="G186" s="12" t="s">
        <v>47</v>
      </c>
    </row>
    <row r="187">
      <c r="A187" s="11">
        <v>185.0</v>
      </c>
      <c r="B187" s="12" t="s">
        <v>662</v>
      </c>
      <c r="C187" s="12" t="s">
        <v>663</v>
      </c>
      <c r="D187" s="12" t="s">
        <v>596</v>
      </c>
      <c r="E187" s="12" t="s">
        <v>664</v>
      </c>
      <c r="F187" s="12" t="s">
        <v>84</v>
      </c>
      <c r="G187" s="12" t="s">
        <v>665</v>
      </c>
    </row>
    <row r="188">
      <c r="A188" s="11">
        <v>186.0</v>
      </c>
      <c r="B188" s="12" t="s">
        <v>666</v>
      </c>
      <c r="C188" s="12" t="s">
        <v>667</v>
      </c>
      <c r="D188" s="12" t="s">
        <v>596</v>
      </c>
      <c r="E188" s="11">
        <v>3.363880279E9</v>
      </c>
      <c r="F188" s="12" t="s">
        <v>84</v>
      </c>
      <c r="G188" s="12" t="s">
        <v>418</v>
      </c>
    </row>
    <row r="189">
      <c r="A189" s="11">
        <v>187.0</v>
      </c>
      <c r="B189" s="12" t="s">
        <v>668</v>
      </c>
      <c r="C189" s="12" t="s">
        <v>669</v>
      </c>
      <c r="D189" s="12" t="s">
        <v>596</v>
      </c>
      <c r="E189" s="11">
        <v>3.363880279E9</v>
      </c>
      <c r="F189" s="12" t="s">
        <v>84</v>
      </c>
      <c r="G189" s="12" t="s">
        <v>418</v>
      </c>
    </row>
    <row r="190">
      <c r="A190" s="11">
        <v>188.0</v>
      </c>
      <c r="B190" s="12" t="s">
        <v>670</v>
      </c>
      <c r="C190" s="12" t="s">
        <v>671</v>
      </c>
      <c r="D190" s="12" t="s">
        <v>596</v>
      </c>
      <c r="E190" s="11">
        <v>3.026135919E9</v>
      </c>
      <c r="F190" s="12" t="s">
        <v>671</v>
      </c>
      <c r="G190" s="12" t="s">
        <v>25</v>
      </c>
    </row>
    <row r="191">
      <c r="A191" s="11">
        <v>189.0</v>
      </c>
      <c r="B191" s="12" t="s">
        <v>672</v>
      </c>
      <c r="C191" s="12" t="s">
        <v>178</v>
      </c>
      <c r="D191" s="12" t="s">
        <v>596</v>
      </c>
      <c r="E191" s="11">
        <v>3.352254143E9</v>
      </c>
      <c r="F191" s="12" t="s">
        <v>72</v>
      </c>
      <c r="G191" s="12" t="s">
        <v>47</v>
      </c>
    </row>
    <row r="192">
      <c r="A192" s="11">
        <v>190.0</v>
      </c>
      <c r="B192" s="12" t="s">
        <v>673</v>
      </c>
      <c r="C192" s="12" t="s">
        <v>674</v>
      </c>
      <c r="D192" s="12" t="s">
        <v>596</v>
      </c>
      <c r="E192" s="11">
        <v>3.412372211E9</v>
      </c>
      <c r="F192" s="12" t="s">
        <v>84</v>
      </c>
      <c r="G192" s="12" t="s">
        <v>152</v>
      </c>
    </row>
    <row r="193">
      <c r="A193" s="11">
        <v>191.0</v>
      </c>
      <c r="B193" s="12" t="s">
        <v>675</v>
      </c>
      <c r="C193" s="12" t="s">
        <v>676</v>
      </c>
      <c r="D193" s="12" t="s">
        <v>596</v>
      </c>
      <c r="E193" s="11">
        <v>3.026135919E9</v>
      </c>
      <c r="F193" s="12" t="s">
        <v>179</v>
      </c>
      <c r="G193" s="12" t="s">
        <v>677</v>
      </c>
    </row>
    <row r="194">
      <c r="A194" s="11">
        <v>192.0</v>
      </c>
      <c r="B194" s="12" t="s">
        <v>678</v>
      </c>
      <c r="C194" s="12" t="s">
        <v>679</v>
      </c>
      <c r="D194" s="12" t="s">
        <v>596</v>
      </c>
      <c r="E194" s="11">
        <v>3.3323396755E10</v>
      </c>
      <c r="F194" s="12" t="s">
        <v>84</v>
      </c>
      <c r="G194" s="12" t="s">
        <v>25</v>
      </c>
    </row>
    <row r="195">
      <c r="A195" s="11">
        <v>193.0</v>
      </c>
      <c r="B195" s="12" t="s">
        <v>680</v>
      </c>
      <c r="C195" s="12" t="s">
        <v>681</v>
      </c>
      <c r="D195" s="12" t="s">
        <v>596</v>
      </c>
      <c r="E195" s="11">
        <v>3.323236884E9</v>
      </c>
      <c r="F195" s="12" t="s">
        <v>635</v>
      </c>
      <c r="G195" s="12" t="s">
        <v>682</v>
      </c>
    </row>
    <row r="196">
      <c r="A196" s="11">
        <v>194.0</v>
      </c>
      <c r="B196" s="12" t="s">
        <v>683</v>
      </c>
      <c r="C196" s="12" t="s">
        <v>684</v>
      </c>
      <c r="D196" s="12" t="s">
        <v>596</v>
      </c>
      <c r="E196" s="11">
        <v>3.039145615E9</v>
      </c>
      <c r="F196" s="12" t="s">
        <v>84</v>
      </c>
      <c r="G196" s="12" t="s">
        <v>47</v>
      </c>
    </row>
    <row r="197">
      <c r="A197" s="11">
        <v>195.0</v>
      </c>
      <c r="B197" s="12" t="s">
        <v>685</v>
      </c>
      <c r="C197" s="12" t="s">
        <v>329</v>
      </c>
      <c r="D197" s="12" t="s">
        <v>596</v>
      </c>
      <c r="E197" s="11">
        <v>3.3203110495E10</v>
      </c>
      <c r="F197" s="12" t="s">
        <v>31</v>
      </c>
      <c r="G197" s="12" t="s">
        <v>686</v>
      </c>
    </row>
    <row r="198">
      <c r="A198" s="11">
        <v>196.0</v>
      </c>
      <c r="B198" s="12" t="s">
        <v>687</v>
      </c>
      <c r="C198" s="12" t="s">
        <v>688</v>
      </c>
      <c r="D198" s="12" t="s">
        <v>596</v>
      </c>
      <c r="E198" s="11">
        <v>3.412276765E9</v>
      </c>
      <c r="F198" s="12" t="s">
        <v>688</v>
      </c>
      <c r="G198" s="12" t="s">
        <v>689</v>
      </c>
    </row>
    <row r="199">
      <c r="A199" s="11">
        <v>197.0</v>
      </c>
      <c r="B199" s="12" t="s">
        <v>690</v>
      </c>
      <c r="C199" s="12" t="s">
        <v>657</v>
      </c>
      <c r="D199" s="12" t="s">
        <v>596</v>
      </c>
      <c r="E199" s="11">
        <v>3.54376179E9</v>
      </c>
      <c r="F199" s="12" t="s">
        <v>691</v>
      </c>
      <c r="G199" s="12" t="s">
        <v>692</v>
      </c>
    </row>
    <row r="200">
      <c r="A200" s="11">
        <v>198.0</v>
      </c>
      <c r="B200" s="12" t="s">
        <v>693</v>
      </c>
      <c r="C200" s="12" t="s">
        <v>694</v>
      </c>
      <c r="D200" s="12" t="s">
        <v>596</v>
      </c>
      <c r="E200" s="11">
        <v>3.432003408E9</v>
      </c>
      <c r="F200" s="12" t="s">
        <v>84</v>
      </c>
      <c r="G200" s="12" t="s">
        <v>47</v>
      </c>
    </row>
    <row r="201">
      <c r="A201" s="11">
        <v>199.0</v>
      </c>
      <c r="B201" s="12" t="s">
        <v>695</v>
      </c>
      <c r="C201" s="12" t="s">
        <v>696</v>
      </c>
      <c r="D201" s="12" t="s">
        <v>596</v>
      </c>
      <c r="E201" s="11">
        <v>3.112715928E9</v>
      </c>
      <c r="F201" s="12" t="s">
        <v>51</v>
      </c>
      <c r="G201" s="12" t="s">
        <v>77</v>
      </c>
    </row>
    <row r="202">
      <c r="A202" s="11">
        <v>200.0</v>
      </c>
      <c r="B202" s="12" t="s">
        <v>697</v>
      </c>
      <c r="C202" s="12" t="s">
        <v>446</v>
      </c>
      <c r="D202" s="12" t="s">
        <v>596</v>
      </c>
      <c r="E202" s="11">
        <v>3.100124243E9</v>
      </c>
      <c r="F202" s="12" t="s">
        <v>67</v>
      </c>
      <c r="G202" s="12" t="s">
        <v>448</v>
      </c>
    </row>
    <row r="203">
      <c r="A203" s="11">
        <v>201.0</v>
      </c>
      <c r="B203" s="12" t="s">
        <v>698</v>
      </c>
      <c r="C203" s="12" t="s">
        <v>329</v>
      </c>
      <c r="D203" s="12" t="s">
        <v>596</v>
      </c>
      <c r="E203" s="11">
        <v>3.3203110495E10</v>
      </c>
      <c r="F203" s="12" t="s">
        <v>116</v>
      </c>
      <c r="G203" s="12" t="s">
        <v>686</v>
      </c>
    </row>
    <row r="204">
      <c r="A204" s="11">
        <v>202.0</v>
      </c>
      <c r="B204" s="12" t="s">
        <v>699</v>
      </c>
      <c r="C204" s="12" t="s">
        <v>308</v>
      </c>
      <c r="D204" s="12" t="s">
        <v>596</v>
      </c>
      <c r="E204" s="12" t="s">
        <v>311</v>
      </c>
      <c r="F204" s="12" t="s">
        <v>151</v>
      </c>
      <c r="G204" s="12" t="s">
        <v>47</v>
      </c>
    </row>
    <row r="205">
      <c r="A205" s="11">
        <v>203.0</v>
      </c>
      <c r="B205" s="12" t="s">
        <v>700</v>
      </c>
      <c r="C205" s="12" t="s">
        <v>701</v>
      </c>
      <c r="D205" s="12" t="s">
        <v>596</v>
      </c>
      <c r="E205" s="11">
        <v>3.11041457E9</v>
      </c>
      <c r="F205" s="12" t="s">
        <v>84</v>
      </c>
      <c r="G205" s="12" t="s">
        <v>68</v>
      </c>
    </row>
    <row r="206">
      <c r="A206" s="11">
        <v>204.0</v>
      </c>
      <c r="B206" s="12" t="s">
        <v>702</v>
      </c>
      <c r="C206" s="12" t="s">
        <v>63</v>
      </c>
      <c r="D206" s="12" t="s">
        <v>596</v>
      </c>
      <c r="E206" s="11">
        <v>3.412354477E9</v>
      </c>
      <c r="F206" s="12" t="s">
        <v>84</v>
      </c>
      <c r="G206" s="12" t="s">
        <v>345</v>
      </c>
    </row>
    <row r="207">
      <c r="A207" s="11">
        <v>205.0</v>
      </c>
      <c r="B207" s="12" t="s">
        <v>703</v>
      </c>
      <c r="C207" s="12" t="s">
        <v>74</v>
      </c>
      <c r="D207" s="12" t="s">
        <v>596</v>
      </c>
      <c r="E207" s="11">
        <v>3.332391909E9</v>
      </c>
      <c r="F207" s="12" t="s">
        <v>704</v>
      </c>
      <c r="G207" s="12" t="s">
        <v>47</v>
      </c>
    </row>
    <row r="208">
      <c r="A208" s="11">
        <v>206.0</v>
      </c>
      <c r="B208" s="12" t="s">
        <v>705</v>
      </c>
      <c r="C208" s="12" t="s">
        <v>706</v>
      </c>
      <c r="D208" s="12" t="s">
        <v>596</v>
      </c>
      <c r="E208" s="11">
        <v>3.335942605E9</v>
      </c>
      <c r="F208" s="12" t="s">
        <v>84</v>
      </c>
      <c r="G208" s="12" t="s">
        <v>152</v>
      </c>
    </row>
    <row r="209">
      <c r="A209" s="11">
        <v>207.0</v>
      </c>
      <c r="B209" s="12" t="s">
        <v>707</v>
      </c>
      <c r="C209" s="12" t="s">
        <v>708</v>
      </c>
      <c r="D209" s="12" t="s">
        <v>596</v>
      </c>
      <c r="E209" s="11">
        <v>3.112239194E9</v>
      </c>
      <c r="F209" s="12" t="s">
        <v>709</v>
      </c>
      <c r="G209" s="12" t="s">
        <v>413</v>
      </c>
    </row>
    <row r="210">
      <c r="A210" s="11">
        <v>208.0</v>
      </c>
      <c r="B210" s="12" t="s">
        <v>710</v>
      </c>
      <c r="C210" s="12" t="s">
        <v>711</v>
      </c>
      <c r="D210" s="12" t="s">
        <v>596</v>
      </c>
      <c r="E210" s="11">
        <v>3.151254457E9</v>
      </c>
      <c r="F210" s="12" t="s">
        <v>712</v>
      </c>
      <c r="G210" s="12" t="s">
        <v>713</v>
      </c>
    </row>
    <row r="211">
      <c r="A211" s="11">
        <v>209.0</v>
      </c>
      <c r="B211" s="12" t="s">
        <v>714</v>
      </c>
      <c r="C211" s="12" t="s">
        <v>75</v>
      </c>
      <c r="D211" s="12" t="s">
        <v>596</v>
      </c>
      <c r="E211" s="11">
        <v>3.464009182E9</v>
      </c>
      <c r="F211" s="12" t="s">
        <v>715</v>
      </c>
      <c r="G211" s="12" t="s">
        <v>77</v>
      </c>
    </row>
    <row r="212">
      <c r="A212" s="11">
        <v>210.0</v>
      </c>
      <c r="B212" s="12" t="s">
        <v>716</v>
      </c>
      <c r="C212" s="12" t="s">
        <v>674</v>
      </c>
      <c r="D212" s="12" t="s">
        <v>596</v>
      </c>
      <c r="E212" s="11">
        <v>3.412372211E9</v>
      </c>
      <c r="F212" s="12" t="s">
        <v>84</v>
      </c>
      <c r="G212" s="12" t="s">
        <v>152</v>
      </c>
    </row>
    <row r="213">
      <c r="A213" s="11">
        <v>211.0</v>
      </c>
      <c r="B213" s="12" t="s">
        <v>717</v>
      </c>
      <c r="C213" s="12" t="s">
        <v>718</v>
      </c>
      <c r="D213" s="12" t="s">
        <v>596</v>
      </c>
      <c r="E213" s="11">
        <v>3.412276765E9</v>
      </c>
      <c r="F213" s="12" t="s">
        <v>719</v>
      </c>
      <c r="G213" s="12" t="s">
        <v>25</v>
      </c>
    </row>
    <row r="214">
      <c r="A214" s="11">
        <v>212.0</v>
      </c>
      <c r="B214" s="12" t="s">
        <v>717</v>
      </c>
      <c r="C214" s="12" t="s">
        <v>167</v>
      </c>
      <c r="D214" s="12" t="s">
        <v>596</v>
      </c>
      <c r="E214" s="11">
        <v>3.333941783E9</v>
      </c>
      <c r="F214" s="12" t="s">
        <v>67</v>
      </c>
      <c r="G214" s="12" t="s">
        <v>720</v>
      </c>
    </row>
    <row r="215">
      <c r="A215" s="11">
        <v>213.0</v>
      </c>
      <c r="B215" s="12" t="s">
        <v>721</v>
      </c>
      <c r="C215" s="12" t="s">
        <v>483</v>
      </c>
      <c r="D215" s="12" t="s">
        <v>596</v>
      </c>
      <c r="E215" s="11">
        <v>3.412276765E9</v>
      </c>
      <c r="F215" s="12" t="s">
        <v>84</v>
      </c>
      <c r="G215" s="12" t="s">
        <v>722</v>
      </c>
    </row>
    <row r="216">
      <c r="A216" s="11">
        <v>214.0</v>
      </c>
      <c r="B216" s="12" t="s">
        <v>723</v>
      </c>
      <c r="C216" s="12" t="s">
        <v>724</v>
      </c>
      <c r="D216" s="12" t="s">
        <v>596</v>
      </c>
      <c r="E216" s="11">
        <v>3.002294385E9</v>
      </c>
      <c r="F216" s="12" t="s">
        <v>84</v>
      </c>
      <c r="G216" s="12" t="s">
        <v>62</v>
      </c>
    </row>
    <row r="217">
      <c r="A217" s="11">
        <v>215.0</v>
      </c>
      <c r="B217" s="12" t="s">
        <v>725</v>
      </c>
      <c r="C217" s="12" t="s">
        <v>492</v>
      </c>
      <c r="D217" s="12" t="s">
        <v>596</v>
      </c>
      <c r="E217" s="11">
        <v>3.333753062E9</v>
      </c>
      <c r="F217" s="12" t="s">
        <v>84</v>
      </c>
      <c r="G217" s="12" t="s">
        <v>77</v>
      </c>
    </row>
    <row r="218">
      <c r="A218" s="11">
        <v>216.0</v>
      </c>
      <c r="B218" s="12" t="s">
        <v>726</v>
      </c>
      <c r="C218" s="12" t="s">
        <v>492</v>
      </c>
      <c r="D218" s="12" t="s">
        <v>596</v>
      </c>
      <c r="E218" s="11">
        <v>3.333753062E9</v>
      </c>
      <c r="F218" s="12" t="s">
        <v>51</v>
      </c>
      <c r="G218" s="12" t="s">
        <v>77</v>
      </c>
    </row>
    <row r="219">
      <c r="A219" s="11">
        <v>217.0</v>
      </c>
      <c r="B219" s="12" t="s">
        <v>727</v>
      </c>
      <c r="C219" s="12" t="s">
        <v>37</v>
      </c>
      <c r="D219" s="12" t="s">
        <v>596</v>
      </c>
      <c r="E219" s="12" t="s">
        <v>39</v>
      </c>
      <c r="F219" s="12" t="s">
        <v>709</v>
      </c>
      <c r="G219" s="12" t="s">
        <v>42</v>
      </c>
    </row>
    <row r="220">
      <c r="A220" s="11">
        <v>218.0</v>
      </c>
      <c r="B220" s="12" t="s">
        <v>728</v>
      </c>
      <c r="C220" s="12" t="s">
        <v>729</v>
      </c>
      <c r="D220" s="12" t="s">
        <v>596</v>
      </c>
      <c r="E220" s="11">
        <v>3.413030745E9</v>
      </c>
      <c r="F220" s="12" t="s">
        <v>84</v>
      </c>
      <c r="G220" s="12" t="s">
        <v>77</v>
      </c>
    </row>
    <row r="221">
      <c r="A221" s="11">
        <v>219.0</v>
      </c>
      <c r="B221" s="12" t="s">
        <v>730</v>
      </c>
      <c r="C221" s="12" t="s">
        <v>731</v>
      </c>
      <c r="D221" s="12" t="s">
        <v>596</v>
      </c>
      <c r="E221" s="11">
        <v>3.410236547E9</v>
      </c>
      <c r="F221" s="12" t="s">
        <v>84</v>
      </c>
      <c r="G221" s="12" t="s">
        <v>682</v>
      </c>
    </row>
    <row r="222">
      <c r="A222" s="11">
        <v>220.0</v>
      </c>
      <c r="B222" s="12" t="s">
        <v>732</v>
      </c>
      <c r="C222" s="12" t="s">
        <v>733</v>
      </c>
      <c r="D222" s="12" t="s">
        <v>596</v>
      </c>
      <c r="E222" s="11">
        <v>3.026133267E9</v>
      </c>
      <c r="F222" s="12" t="s">
        <v>734</v>
      </c>
      <c r="G222" s="12" t="s">
        <v>77</v>
      </c>
    </row>
    <row r="223">
      <c r="A223" s="11">
        <v>221.0</v>
      </c>
      <c r="B223" s="12" t="s">
        <v>735</v>
      </c>
      <c r="C223" s="12" t="s">
        <v>736</v>
      </c>
      <c r="D223" s="12" t="s">
        <v>596</v>
      </c>
      <c r="E223" s="11">
        <v>3.212943489E9</v>
      </c>
      <c r="F223" s="12" t="s">
        <v>84</v>
      </c>
      <c r="G223" s="12" t="s">
        <v>47</v>
      </c>
    </row>
    <row r="224">
      <c r="A224" s="11">
        <v>222.0</v>
      </c>
      <c r="B224" s="12" t="s">
        <v>737</v>
      </c>
      <c r="C224" s="12" t="s">
        <v>511</v>
      </c>
      <c r="D224" s="12" t="s">
        <v>596</v>
      </c>
      <c r="E224" s="11">
        <v>3.056876041E9</v>
      </c>
      <c r="F224" s="12" t="s">
        <v>738</v>
      </c>
      <c r="G224" s="12" t="s">
        <v>47</v>
      </c>
    </row>
    <row r="225">
      <c r="A225" s="11">
        <v>223.0</v>
      </c>
      <c r="B225" s="12" t="s">
        <v>739</v>
      </c>
      <c r="C225" s="12" t="s">
        <v>740</v>
      </c>
      <c r="D225" s="12" t="s">
        <v>596</v>
      </c>
      <c r="E225" s="11">
        <v>3.119887792E9</v>
      </c>
      <c r="F225" s="12" t="s">
        <v>84</v>
      </c>
      <c r="G225" s="12" t="s">
        <v>345</v>
      </c>
    </row>
    <row r="226">
      <c r="A226" s="11">
        <v>224.0</v>
      </c>
      <c r="B226" s="12" t="s">
        <v>741</v>
      </c>
      <c r="C226" s="12" t="s">
        <v>576</v>
      </c>
      <c r="D226" s="12" t="s">
        <v>596</v>
      </c>
      <c r="E226" s="11">
        <v>3.068741957E9</v>
      </c>
      <c r="F226" s="12" t="s">
        <v>742</v>
      </c>
      <c r="G226" s="12" t="s">
        <v>629</v>
      </c>
    </row>
    <row r="227">
      <c r="A227" s="11">
        <v>225.0</v>
      </c>
      <c r="B227" s="12" t="s">
        <v>743</v>
      </c>
      <c r="C227" s="12" t="s">
        <v>744</v>
      </c>
      <c r="D227" s="12" t="s">
        <v>596</v>
      </c>
      <c r="E227" s="11">
        <v>3.188394614E9</v>
      </c>
      <c r="F227" s="12" t="s">
        <v>745</v>
      </c>
      <c r="G227" s="12" t="s">
        <v>682</v>
      </c>
    </row>
    <row r="228">
      <c r="A228" s="11">
        <v>226.0</v>
      </c>
      <c r="B228" s="12" t="s">
        <v>746</v>
      </c>
      <c r="C228" s="12" t="s">
        <v>747</v>
      </c>
      <c r="D228" s="12" t="s">
        <v>596</v>
      </c>
      <c r="E228" s="12" t="s">
        <v>84</v>
      </c>
      <c r="F228" s="12" t="s">
        <v>748</v>
      </c>
      <c r="G228" s="12" t="s">
        <v>152</v>
      </c>
    </row>
    <row r="229">
      <c r="A229" s="11">
        <v>227.0</v>
      </c>
      <c r="B229" s="12" t="s">
        <v>749</v>
      </c>
      <c r="C229" s="12" t="s">
        <v>740</v>
      </c>
      <c r="D229" s="12" t="s">
        <v>596</v>
      </c>
      <c r="E229" s="11">
        <v>3.119887792E9</v>
      </c>
      <c r="F229" s="12" t="s">
        <v>84</v>
      </c>
      <c r="G229" s="12" t="s">
        <v>47</v>
      </c>
    </row>
    <row r="230">
      <c r="A230" s="11">
        <v>228.0</v>
      </c>
      <c r="B230" s="12" t="s">
        <v>750</v>
      </c>
      <c r="C230" s="12" t="s">
        <v>84</v>
      </c>
      <c r="D230" s="12" t="s">
        <v>596</v>
      </c>
      <c r="E230" s="12" t="s">
        <v>84</v>
      </c>
      <c r="F230" s="12" t="s">
        <v>84</v>
      </c>
      <c r="G230" s="12" t="s">
        <v>25</v>
      </c>
    </row>
    <row r="231">
      <c r="A231" s="11">
        <v>229.0</v>
      </c>
      <c r="B231" s="12" t="s">
        <v>751</v>
      </c>
      <c r="C231" s="12" t="s">
        <v>643</v>
      </c>
      <c r="D231" s="12" t="s">
        <v>596</v>
      </c>
      <c r="E231" s="11">
        <v>3.122102235E9</v>
      </c>
      <c r="F231" s="12" t="s">
        <v>84</v>
      </c>
      <c r="G231" s="12" t="s">
        <v>644</v>
      </c>
    </row>
    <row r="232">
      <c r="A232" s="11">
        <v>230.0</v>
      </c>
      <c r="B232" s="12" t="s">
        <v>752</v>
      </c>
      <c r="C232" s="12" t="s">
        <v>684</v>
      </c>
      <c r="D232" s="12" t="s">
        <v>596</v>
      </c>
      <c r="E232" s="11">
        <v>3.039145615E9</v>
      </c>
      <c r="F232" s="12" t="s">
        <v>84</v>
      </c>
      <c r="G232" s="12" t="s">
        <v>47</v>
      </c>
    </row>
    <row r="233">
      <c r="A233" s="11">
        <v>231.0</v>
      </c>
      <c r="B233" s="12" t="s">
        <v>753</v>
      </c>
      <c r="C233" s="12" t="s">
        <v>754</v>
      </c>
      <c r="D233" s="12" t="s">
        <v>596</v>
      </c>
      <c r="E233" s="11">
        <v>3.413106401E9</v>
      </c>
      <c r="F233" s="12" t="s">
        <v>84</v>
      </c>
      <c r="G233" s="12" t="s">
        <v>47</v>
      </c>
    </row>
    <row r="234">
      <c r="A234" s="11">
        <v>232.0</v>
      </c>
      <c r="B234" s="12" t="s">
        <v>755</v>
      </c>
      <c r="C234" s="12" t="s">
        <v>679</v>
      </c>
      <c r="D234" s="12" t="s">
        <v>596</v>
      </c>
      <c r="E234" s="11">
        <v>3.332980252E9</v>
      </c>
      <c r="F234" s="12" t="s">
        <v>84</v>
      </c>
      <c r="G234" s="12" t="s">
        <v>25</v>
      </c>
    </row>
    <row r="235">
      <c r="A235" s="11">
        <v>233.0</v>
      </c>
      <c r="B235" s="12" t="s">
        <v>756</v>
      </c>
      <c r="C235" s="12" t="s">
        <v>757</v>
      </c>
      <c r="D235" s="12" t="s">
        <v>596</v>
      </c>
      <c r="E235" s="11">
        <v>3.470782161E9</v>
      </c>
      <c r="F235" s="12" t="s">
        <v>84</v>
      </c>
      <c r="G235" s="12" t="s">
        <v>77</v>
      </c>
    </row>
    <row r="236">
      <c r="A236" s="11">
        <v>234.0</v>
      </c>
      <c r="B236" s="12" t="s">
        <v>758</v>
      </c>
      <c r="C236" s="12" t="s">
        <v>759</v>
      </c>
      <c r="D236" s="12" t="s">
        <v>596</v>
      </c>
      <c r="E236" s="11">
        <v>3.403515833E9</v>
      </c>
      <c r="F236" s="12" t="s">
        <v>84</v>
      </c>
      <c r="G236" s="12" t="s">
        <v>68</v>
      </c>
    </row>
    <row r="237">
      <c r="A237" s="11">
        <v>235.0</v>
      </c>
      <c r="B237" s="12" t="s">
        <v>760</v>
      </c>
      <c r="C237" s="12" t="s">
        <v>120</v>
      </c>
      <c r="D237" s="12" t="s">
        <v>596</v>
      </c>
      <c r="E237" s="11">
        <v>3.42123126E8</v>
      </c>
      <c r="F237" s="12" t="s">
        <v>536</v>
      </c>
      <c r="G237" s="12" t="s">
        <v>25</v>
      </c>
    </row>
    <row r="238">
      <c r="A238" s="11">
        <v>236.0</v>
      </c>
      <c r="B238" s="12" t="s">
        <v>761</v>
      </c>
      <c r="C238" s="12" t="s">
        <v>503</v>
      </c>
      <c r="D238" s="12" t="s">
        <v>596</v>
      </c>
      <c r="E238" s="11">
        <v>3.022236201E9</v>
      </c>
      <c r="F238" s="12" t="s">
        <v>84</v>
      </c>
      <c r="G238" s="12" t="s">
        <v>762</v>
      </c>
    </row>
    <row r="239">
      <c r="A239" s="11">
        <v>237.0</v>
      </c>
      <c r="B239" s="12" t="s">
        <v>763</v>
      </c>
      <c r="C239" s="12" t="s">
        <v>648</v>
      </c>
      <c r="D239" s="12" t="s">
        <v>596</v>
      </c>
      <c r="E239" s="11">
        <v>3.312385373E9</v>
      </c>
      <c r="F239" s="12" t="s">
        <v>84</v>
      </c>
      <c r="G239" s="12" t="s">
        <v>77</v>
      </c>
    </row>
    <row r="240">
      <c r="A240" s="11">
        <v>238.0</v>
      </c>
      <c r="B240" s="12" t="s">
        <v>764</v>
      </c>
      <c r="C240" s="12" t="s">
        <v>423</v>
      </c>
      <c r="D240" s="12" t="s">
        <v>596</v>
      </c>
      <c r="E240" s="11">
        <v>3.218944236E9</v>
      </c>
      <c r="F240" s="12" t="s">
        <v>84</v>
      </c>
      <c r="G240" s="12" t="s">
        <v>239</v>
      </c>
    </row>
    <row r="241">
      <c r="A241" s="11">
        <v>239.0</v>
      </c>
      <c r="B241" s="12" t="s">
        <v>765</v>
      </c>
      <c r="C241" s="12" t="s">
        <v>766</v>
      </c>
      <c r="D241" s="12" t="s">
        <v>596</v>
      </c>
      <c r="E241" s="11">
        <v>3.03403601E8</v>
      </c>
      <c r="F241" s="12" t="s">
        <v>84</v>
      </c>
      <c r="G241" s="12" t="s">
        <v>77</v>
      </c>
    </row>
    <row r="242">
      <c r="A242" s="11">
        <v>240.0</v>
      </c>
      <c r="B242" s="12" t="s">
        <v>767</v>
      </c>
      <c r="C242" s="12" t="s">
        <v>768</v>
      </c>
      <c r="D242" s="12" t="s">
        <v>596</v>
      </c>
      <c r="E242" s="11">
        <v>3.341253426E9</v>
      </c>
      <c r="F242" s="12" t="s">
        <v>536</v>
      </c>
      <c r="G242" s="12" t="s">
        <v>77</v>
      </c>
    </row>
    <row r="243">
      <c r="A243" s="11">
        <v>241.0</v>
      </c>
      <c r="B243" s="12" t="s">
        <v>769</v>
      </c>
      <c r="C243" s="12" t="s">
        <v>770</v>
      </c>
      <c r="D243" s="12" t="s">
        <v>596</v>
      </c>
      <c r="E243" s="11">
        <v>3.042628218E9</v>
      </c>
      <c r="F243" s="12" t="s">
        <v>84</v>
      </c>
      <c r="G243" s="12" t="s">
        <v>771</v>
      </c>
    </row>
    <row r="244">
      <c r="A244" s="11">
        <v>242.0</v>
      </c>
      <c r="B244" s="12" t="s">
        <v>772</v>
      </c>
      <c r="C244" s="12" t="s">
        <v>773</v>
      </c>
      <c r="D244" s="12" t="s">
        <v>596</v>
      </c>
      <c r="E244" s="11">
        <v>3.132536761E9</v>
      </c>
      <c r="F244" s="12" t="s">
        <v>774</v>
      </c>
      <c r="G244" s="12" t="s">
        <v>25</v>
      </c>
    </row>
    <row r="245">
      <c r="A245" s="11">
        <v>243.0</v>
      </c>
      <c r="B245" s="12" t="s">
        <v>775</v>
      </c>
      <c r="C245" s="12" t="s">
        <v>776</v>
      </c>
      <c r="D245" s="12" t="s">
        <v>596</v>
      </c>
      <c r="E245" s="11">
        <v>3.456189491E9</v>
      </c>
      <c r="F245" s="12" t="s">
        <v>777</v>
      </c>
      <c r="G245" s="12" t="s">
        <v>25</v>
      </c>
    </row>
    <row r="246">
      <c r="A246" s="11">
        <v>244.0</v>
      </c>
      <c r="B246" s="12" t="s">
        <v>778</v>
      </c>
      <c r="C246" s="12" t="s">
        <v>779</v>
      </c>
      <c r="D246" s="12" t="s">
        <v>596</v>
      </c>
      <c r="E246" s="11">
        <v>3.442123126E9</v>
      </c>
      <c r="F246" s="12" t="s">
        <v>536</v>
      </c>
      <c r="G246" s="12" t="s">
        <v>25</v>
      </c>
    </row>
    <row r="247">
      <c r="A247" s="11">
        <v>245.0</v>
      </c>
      <c r="B247" s="12" t="s">
        <v>780</v>
      </c>
      <c r="C247" s="12" t="s">
        <v>667</v>
      </c>
      <c r="D247" s="12" t="s">
        <v>596</v>
      </c>
      <c r="E247" s="11">
        <v>3.363880279E9</v>
      </c>
      <c r="F247" s="12" t="s">
        <v>84</v>
      </c>
      <c r="G247" s="12" t="s">
        <v>418</v>
      </c>
    </row>
    <row r="248">
      <c r="A248" s="11">
        <v>246.0</v>
      </c>
      <c r="B248" s="12" t="s">
        <v>781</v>
      </c>
      <c r="C248" s="12" t="s">
        <v>210</v>
      </c>
      <c r="D248" s="12" t="s">
        <v>596</v>
      </c>
      <c r="E248" s="11">
        <v>3.42258358E9</v>
      </c>
      <c r="F248" s="12" t="s">
        <v>84</v>
      </c>
      <c r="G248" s="12" t="s">
        <v>345</v>
      </c>
    </row>
    <row r="249">
      <c r="A249" s="11">
        <v>247.0</v>
      </c>
      <c r="B249" s="12" t="s">
        <v>782</v>
      </c>
      <c r="C249" s="12" t="s">
        <v>768</v>
      </c>
      <c r="D249" s="12" t="s">
        <v>596</v>
      </c>
      <c r="E249" s="11">
        <v>3.341253426E9</v>
      </c>
      <c r="F249" s="12" t="s">
        <v>783</v>
      </c>
      <c r="G249" s="12" t="s">
        <v>42</v>
      </c>
    </row>
    <row r="250">
      <c r="A250" s="11">
        <v>248.0</v>
      </c>
      <c r="B250" s="12" t="s">
        <v>784</v>
      </c>
      <c r="C250" s="12" t="s">
        <v>785</v>
      </c>
      <c r="D250" s="12" t="s">
        <v>596</v>
      </c>
      <c r="E250" s="11">
        <v>3.118037439E9</v>
      </c>
      <c r="F250" s="12" t="s">
        <v>84</v>
      </c>
      <c r="G250" s="12" t="s">
        <v>77</v>
      </c>
    </row>
    <row r="251">
      <c r="A251" s="11">
        <v>249.0</v>
      </c>
      <c r="B251" s="12" t="s">
        <v>786</v>
      </c>
      <c r="C251" s="12" t="s">
        <v>787</v>
      </c>
      <c r="D251" s="12" t="s">
        <v>596</v>
      </c>
      <c r="E251" s="11">
        <v>3.458116614E9</v>
      </c>
      <c r="F251" s="12" t="s">
        <v>84</v>
      </c>
      <c r="G251" s="12" t="s">
        <v>47</v>
      </c>
    </row>
    <row r="252">
      <c r="A252" s="11">
        <v>250.0</v>
      </c>
      <c r="B252" s="12" t="s">
        <v>788</v>
      </c>
      <c r="C252" s="12" t="s">
        <v>789</v>
      </c>
      <c r="D252" s="12" t="s">
        <v>596</v>
      </c>
      <c r="E252" s="11">
        <v>3.15303393E9</v>
      </c>
      <c r="F252" s="12" t="s">
        <v>84</v>
      </c>
      <c r="G252" s="12" t="s">
        <v>152</v>
      </c>
    </row>
    <row r="253">
      <c r="A253" s="11">
        <v>251.0</v>
      </c>
      <c r="B253" s="12" t="s">
        <v>790</v>
      </c>
      <c r="C253" s="12" t="s">
        <v>791</v>
      </c>
      <c r="D253" s="12" t="s">
        <v>596</v>
      </c>
      <c r="E253" s="11">
        <v>3.002838983E9</v>
      </c>
      <c r="F253" s="12" t="s">
        <v>84</v>
      </c>
      <c r="G253" s="12" t="s">
        <v>77</v>
      </c>
    </row>
    <row r="254">
      <c r="A254" s="11">
        <v>252.0</v>
      </c>
      <c r="B254" s="12" t="s">
        <v>792</v>
      </c>
      <c r="C254" s="12" t="s">
        <v>315</v>
      </c>
      <c r="D254" s="12" t="s">
        <v>596</v>
      </c>
      <c r="E254" s="11">
        <v>3.029635921E9</v>
      </c>
      <c r="F254" s="12" t="s">
        <v>783</v>
      </c>
      <c r="G254" s="12" t="s">
        <v>793</v>
      </c>
    </row>
    <row r="255">
      <c r="A255" s="11">
        <v>253.0</v>
      </c>
      <c r="B255" s="12" t="s">
        <v>794</v>
      </c>
      <c r="C255" s="12" t="s">
        <v>795</v>
      </c>
      <c r="D255" s="12" t="s">
        <v>596</v>
      </c>
      <c r="E255" s="11">
        <v>3.121187271E9</v>
      </c>
      <c r="F255" s="12" t="s">
        <v>536</v>
      </c>
      <c r="G255" s="12" t="s">
        <v>25</v>
      </c>
    </row>
    <row r="256">
      <c r="A256" s="11">
        <v>254.0</v>
      </c>
      <c r="B256" s="12" t="s">
        <v>796</v>
      </c>
      <c r="C256" s="12" t="s">
        <v>641</v>
      </c>
      <c r="D256" s="12" t="s">
        <v>596</v>
      </c>
      <c r="E256" s="11">
        <v>3.155081868E9</v>
      </c>
      <c r="F256" s="12" t="s">
        <v>84</v>
      </c>
      <c r="G256" s="12" t="s">
        <v>797</v>
      </c>
    </row>
    <row r="257">
      <c r="A257" s="11">
        <v>255.0</v>
      </c>
      <c r="B257" s="12" t="s">
        <v>798</v>
      </c>
      <c r="C257" s="12" t="s">
        <v>20</v>
      </c>
      <c r="D257" s="12" t="s">
        <v>596</v>
      </c>
      <c r="E257" s="11">
        <v>3.42672654E9</v>
      </c>
      <c r="F257" s="12" t="s">
        <v>799</v>
      </c>
      <c r="G257" s="12" t="s">
        <v>25</v>
      </c>
    </row>
    <row r="258">
      <c r="A258" s="11">
        <v>256.0</v>
      </c>
      <c r="B258" s="12" t="s">
        <v>800</v>
      </c>
      <c r="C258" s="12" t="s">
        <v>457</v>
      </c>
      <c r="D258" s="12" t="s">
        <v>596</v>
      </c>
      <c r="E258" s="11">
        <v>3.152538077E9</v>
      </c>
      <c r="F258" s="12" t="s">
        <v>84</v>
      </c>
      <c r="G258" s="12" t="s">
        <v>47</v>
      </c>
    </row>
    <row r="259">
      <c r="A259" s="11">
        <v>257.0</v>
      </c>
      <c r="B259" s="12" t="s">
        <v>801</v>
      </c>
      <c r="C259" s="12" t="s">
        <v>223</v>
      </c>
      <c r="D259" s="12" t="s">
        <v>596</v>
      </c>
      <c r="E259" s="11">
        <v>3.472024241E9</v>
      </c>
      <c r="F259" s="12" t="s">
        <v>691</v>
      </c>
      <c r="G259" s="12" t="s">
        <v>77</v>
      </c>
    </row>
    <row r="260">
      <c r="A260" s="11">
        <v>258.0</v>
      </c>
      <c r="B260" s="12" t="s">
        <v>802</v>
      </c>
      <c r="C260" s="12" t="s">
        <v>234</v>
      </c>
      <c r="D260" s="12" t="s">
        <v>596</v>
      </c>
      <c r="E260" s="11">
        <v>3.333753062E9</v>
      </c>
      <c r="F260" s="12" t="s">
        <v>84</v>
      </c>
      <c r="G260" s="12" t="s">
        <v>644</v>
      </c>
    </row>
    <row r="261">
      <c r="A261" s="11">
        <v>259.0</v>
      </c>
      <c r="B261" s="12" t="s">
        <v>803</v>
      </c>
      <c r="C261" s="12" t="s">
        <v>579</v>
      </c>
      <c r="D261" s="12" t="s">
        <v>596</v>
      </c>
      <c r="E261" s="11">
        <v>3.082711448E9</v>
      </c>
      <c r="F261" s="12" t="s">
        <v>84</v>
      </c>
      <c r="G261" s="12" t="s">
        <v>42</v>
      </c>
    </row>
    <row r="262">
      <c r="A262" s="11">
        <v>260.0</v>
      </c>
      <c r="B262" s="12" t="s">
        <v>803</v>
      </c>
      <c r="C262" s="12" t="s">
        <v>650</v>
      </c>
      <c r="D262" s="12" t="s">
        <v>596</v>
      </c>
      <c r="E262" s="11">
        <v>3.363880279E9</v>
      </c>
      <c r="F262" s="12" t="s">
        <v>84</v>
      </c>
      <c r="G262" s="12" t="s">
        <v>418</v>
      </c>
    </row>
    <row r="263">
      <c r="A263" s="11">
        <v>261.0</v>
      </c>
      <c r="B263" s="12" t="s">
        <v>804</v>
      </c>
      <c r="C263" s="12" t="s">
        <v>805</v>
      </c>
      <c r="D263" s="12" t="s">
        <v>596</v>
      </c>
      <c r="E263" s="11">
        <v>3.337284233E9</v>
      </c>
      <c r="F263" s="12" t="s">
        <v>536</v>
      </c>
      <c r="G263" s="12" t="s">
        <v>25</v>
      </c>
    </row>
    <row r="264">
      <c r="A264" s="11">
        <v>262.0</v>
      </c>
      <c r="B264" s="12" t="s">
        <v>806</v>
      </c>
      <c r="C264" s="12" t="s">
        <v>576</v>
      </c>
      <c r="D264" s="12" t="s">
        <v>596</v>
      </c>
      <c r="E264" s="11">
        <v>3.068741957E9</v>
      </c>
      <c r="F264" s="12" t="s">
        <v>616</v>
      </c>
      <c r="G264" s="12" t="s">
        <v>77</v>
      </c>
    </row>
    <row r="265">
      <c r="A265" s="11">
        <v>263.0</v>
      </c>
      <c r="B265" s="12" t="s">
        <v>807</v>
      </c>
      <c r="C265" s="12" t="s">
        <v>808</v>
      </c>
      <c r="D265" s="12" t="s">
        <v>596</v>
      </c>
      <c r="E265" s="11">
        <v>3.453104167E9</v>
      </c>
      <c r="F265" s="12" t="s">
        <v>67</v>
      </c>
      <c r="G265" s="12" t="s">
        <v>77</v>
      </c>
    </row>
    <row r="266">
      <c r="A266" s="11">
        <v>264.0</v>
      </c>
      <c r="B266" s="12" t="s">
        <v>809</v>
      </c>
      <c r="C266" s="12" t="s">
        <v>646</v>
      </c>
      <c r="D266" s="12" t="s">
        <v>596</v>
      </c>
      <c r="E266" s="11">
        <v>3.262143986E9</v>
      </c>
      <c r="F266" s="12" t="s">
        <v>51</v>
      </c>
      <c r="G266" s="12" t="s">
        <v>176</v>
      </c>
    </row>
    <row r="267">
      <c r="A267" s="11">
        <v>265.0</v>
      </c>
      <c r="B267" s="12" t="s">
        <v>810</v>
      </c>
      <c r="C267" s="12" t="s">
        <v>733</v>
      </c>
      <c r="D267" s="12" t="s">
        <v>596</v>
      </c>
      <c r="E267" s="11">
        <v>3.363880279E9</v>
      </c>
      <c r="F267" s="12" t="s">
        <v>84</v>
      </c>
      <c r="G267" s="12" t="s">
        <v>811</v>
      </c>
    </row>
    <row r="268">
      <c r="A268" s="11">
        <v>266.0</v>
      </c>
      <c r="B268" s="12" t="s">
        <v>812</v>
      </c>
      <c r="C268" s="12" t="s">
        <v>813</v>
      </c>
      <c r="D268" s="12" t="s">
        <v>596</v>
      </c>
      <c r="E268" s="11">
        <v>3.331310169E9</v>
      </c>
      <c r="F268" s="12" t="s">
        <v>84</v>
      </c>
      <c r="G268" s="12" t="s">
        <v>814</v>
      </c>
    </row>
    <row r="269">
      <c r="A269" s="11">
        <v>267.0</v>
      </c>
      <c r="B269" s="12" t="s">
        <v>815</v>
      </c>
      <c r="C269" s="12" t="s">
        <v>816</v>
      </c>
      <c r="D269" s="12" t="s">
        <v>596</v>
      </c>
      <c r="E269" s="11">
        <v>3.002509085E9</v>
      </c>
      <c r="F269" s="12" t="s">
        <v>31</v>
      </c>
      <c r="G269" s="12" t="s">
        <v>77</v>
      </c>
    </row>
    <row r="270">
      <c r="A270" s="11">
        <v>268.0</v>
      </c>
      <c r="B270" s="12" t="s">
        <v>817</v>
      </c>
      <c r="C270" s="12" t="s">
        <v>210</v>
      </c>
      <c r="D270" s="12" t="s">
        <v>596</v>
      </c>
      <c r="E270" s="11">
        <v>3.225242519E9</v>
      </c>
      <c r="F270" s="12" t="s">
        <v>84</v>
      </c>
      <c r="G270" s="12" t="s">
        <v>212</v>
      </c>
    </row>
    <row r="271">
      <c r="A271" s="11">
        <v>269.0</v>
      </c>
      <c r="B271" s="12" t="s">
        <v>818</v>
      </c>
      <c r="C271" s="12" t="s">
        <v>178</v>
      </c>
      <c r="D271" s="12" t="s">
        <v>596</v>
      </c>
      <c r="E271" s="11">
        <v>3.442028602E9</v>
      </c>
      <c r="F271" s="12" t="s">
        <v>84</v>
      </c>
      <c r="G271" s="12" t="s">
        <v>152</v>
      </c>
    </row>
    <row r="272">
      <c r="A272" s="11">
        <v>270.0</v>
      </c>
      <c r="B272" s="12" t="s">
        <v>819</v>
      </c>
      <c r="C272" s="12" t="s">
        <v>820</v>
      </c>
      <c r="D272" s="12" t="s">
        <v>596</v>
      </c>
      <c r="E272" s="11">
        <v>3.032399941E9</v>
      </c>
      <c r="F272" s="12" t="s">
        <v>84</v>
      </c>
      <c r="G272" s="12" t="s">
        <v>152</v>
      </c>
    </row>
    <row r="273">
      <c r="A273" s="11">
        <v>271.0</v>
      </c>
      <c r="B273" s="12" t="s">
        <v>821</v>
      </c>
      <c r="C273" s="12" t="s">
        <v>552</v>
      </c>
      <c r="D273" s="12" t="s">
        <v>596</v>
      </c>
      <c r="E273" s="11">
        <v>3.121247199E9</v>
      </c>
      <c r="F273" s="12" t="s">
        <v>822</v>
      </c>
      <c r="G273" s="12" t="s">
        <v>89</v>
      </c>
    </row>
    <row r="274">
      <c r="A274" s="11">
        <v>272.0</v>
      </c>
      <c r="B274" s="12" t="s">
        <v>823</v>
      </c>
      <c r="C274" s="12" t="s">
        <v>824</v>
      </c>
      <c r="D274" s="12" t="s">
        <v>596</v>
      </c>
      <c r="E274" s="11">
        <v>3.113877399E9</v>
      </c>
      <c r="F274" s="12" t="s">
        <v>84</v>
      </c>
      <c r="G274" s="12" t="s">
        <v>47</v>
      </c>
    </row>
    <row r="275">
      <c r="A275" s="11">
        <v>273.0</v>
      </c>
      <c r="B275" s="12" t="s">
        <v>825</v>
      </c>
      <c r="C275" s="12" t="s">
        <v>552</v>
      </c>
      <c r="D275" s="12" t="s">
        <v>596</v>
      </c>
      <c r="E275" s="11">
        <v>3.121247199E9</v>
      </c>
      <c r="F275" s="12" t="s">
        <v>826</v>
      </c>
      <c r="G275" s="12" t="s">
        <v>89</v>
      </c>
    </row>
    <row r="276">
      <c r="A276" s="11">
        <v>274.0</v>
      </c>
      <c r="B276" s="12" t="s">
        <v>827</v>
      </c>
      <c r="C276" s="12" t="s">
        <v>564</v>
      </c>
      <c r="D276" s="12" t="s">
        <v>596</v>
      </c>
      <c r="E276" s="11">
        <v>3.278277181E9</v>
      </c>
      <c r="F276" s="12" t="s">
        <v>84</v>
      </c>
      <c r="G276" s="12" t="s">
        <v>25</v>
      </c>
    </row>
    <row r="277">
      <c r="A277" s="11">
        <v>275.0</v>
      </c>
      <c r="B277" s="12" t="s">
        <v>828</v>
      </c>
      <c r="C277" s="12" t="s">
        <v>829</v>
      </c>
      <c r="D277" s="12" t="s">
        <v>596</v>
      </c>
      <c r="E277" s="11">
        <v>3.358603395E9</v>
      </c>
      <c r="F277" s="12" t="s">
        <v>84</v>
      </c>
      <c r="G277" s="12" t="s">
        <v>47</v>
      </c>
    </row>
    <row r="278">
      <c r="A278" s="11">
        <v>276.0</v>
      </c>
      <c r="B278" s="12" t="s">
        <v>830</v>
      </c>
      <c r="C278" s="12" t="s">
        <v>660</v>
      </c>
      <c r="D278" s="12" t="s">
        <v>596</v>
      </c>
      <c r="E278" s="11">
        <v>3.088207157E9</v>
      </c>
      <c r="F278" s="12" t="s">
        <v>84</v>
      </c>
      <c r="G278" s="12" t="s">
        <v>77</v>
      </c>
    </row>
    <row r="279">
      <c r="A279" s="11">
        <v>277.0</v>
      </c>
      <c r="B279" s="12" t="s">
        <v>831</v>
      </c>
      <c r="C279" s="12" t="s">
        <v>813</v>
      </c>
      <c r="D279" s="12" t="s">
        <v>596</v>
      </c>
      <c r="E279" s="11">
        <v>3.331310169E9</v>
      </c>
      <c r="F279" s="12" t="s">
        <v>84</v>
      </c>
      <c r="G279" s="12" t="s">
        <v>814</v>
      </c>
    </row>
    <row r="280">
      <c r="A280" s="11">
        <v>278.0</v>
      </c>
      <c r="B280" s="12" t="s">
        <v>832</v>
      </c>
      <c r="C280" s="12" t="s">
        <v>791</v>
      </c>
      <c r="D280" s="12" t="s">
        <v>596</v>
      </c>
      <c r="E280" s="11">
        <v>3.002838983E9</v>
      </c>
      <c r="F280" s="12" t="s">
        <v>84</v>
      </c>
      <c r="G280" s="12" t="s">
        <v>77</v>
      </c>
    </row>
    <row r="281">
      <c r="A281" s="11">
        <v>279.0</v>
      </c>
      <c r="B281" s="12" t="s">
        <v>833</v>
      </c>
      <c r="C281" s="12" t="s">
        <v>457</v>
      </c>
      <c r="D281" s="12" t="s">
        <v>596</v>
      </c>
      <c r="E281" s="11">
        <v>3.343907561E9</v>
      </c>
      <c r="F281" s="12" t="s">
        <v>116</v>
      </c>
      <c r="G281" s="12" t="s">
        <v>834</v>
      </c>
    </row>
    <row r="282">
      <c r="A282" s="11">
        <v>280.0</v>
      </c>
      <c r="B282" s="12" t="s">
        <v>835</v>
      </c>
      <c r="C282" s="12" t="s">
        <v>141</v>
      </c>
      <c r="D282" s="12" t="s">
        <v>596</v>
      </c>
      <c r="E282" s="11">
        <v>3.421597063E9</v>
      </c>
      <c r="F282" s="12" t="s">
        <v>142</v>
      </c>
      <c r="G282" s="12" t="s">
        <v>144</v>
      </c>
    </row>
    <row r="283">
      <c r="A283" s="11">
        <v>281.0</v>
      </c>
      <c r="B283" s="12" t="s">
        <v>836</v>
      </c>
      <c r="C283" s="12" t="s">
        <v>288</v>
      </c>
      <c r="D283" s="12" t="s">
        <v>596</v>
      </c>
      <c r="E283" s="11">
        <v>3.152930595E9</v>
      </c>
      <c r="F283" s="12" t="s">
        <v>742</v>
      </c>
      <c r="G283" s="12" t="s">
        <v>25</v>
      </c>
    </row>
    <row r="284">
      <c r="A284" s="11">
        <v>282.0</v>
      </c>
      <c r="B284" s="12" t="s">
        <v>837</v>
      </c>
      <c r="C284" s="12" t="s">
        <v>706</v>
      </c>
      <c r="D284" s="12" t="s">
        <v>596</v>
      </c>
      <c r="E284" s="11">
        <v>3.335942605E9</v>
      </c>
      <c r="F284" s="12" t="s">
        <v>84</v>
      </c>
      <c r="G284" s="12" t="s">
        <v>47</v>
      </c>
    </row>
    <row r="285">
      <c r="A285" s="11">
        <v>283.0</v>
      </c>
      <c r="B285" s="12" t="s">
        <v>838</v>
      </c>
      <c r="C285" s="12" t="s">
        <v>269</v>
      </c>
      <c r="D285" s="12" t="s">
        <v>596</v>
      </c>
      <c r="E285" s="11">
        <v>3.090619162E9</v>
      </c>
      <c r="F285" s="12" t="s">
        <v>51</v>
      </c>
      <c r="G285" s="12" t="s">
        <v>605</v>
      </c>
    </row>
    <row r="286">
      <c r="A286" s="11">
        <v>284.0</v>
      </c>
      <c r="B286" s="12" t="s">
        <v>839</v>
      </c>
      <c r="C286" s="12" t="s">
        <v>190</v>
      </c>
      <c r="D286" s="12" t="s">
        <v>596</v>
      </c>
      <c r="E286" s="11">
        <v>3.15584398E9</v>
      </c>
      <c r="F286" s="12" t="s">
        <v>67</v>
      </c>
      <c r="G286" s="12" t="s">
        <v>720</v>
      </c>
    </row>
    <row r="287">
      <c r="A287" s="11">
        <v>285.0</v>
      </c>
      <c r="B287" s="12" t="s">
        <v>840</v>
      </c>
      <c r="C287" s="12" t="s">
        <v>841</v>
      </c>
      <c r="D287" s="12" t="s">
        <v>596</v>
      </c>
      <c r="E287" s="11">
        <v>3.32249364E8</v>
      </c>
      <c r="F287" s="12" t="s">
        <v>84</v>
      </c>
      <c r="G287" s="12" t="s">
        <v>842</v>
      </c>
    </row>
    <row r="288">
      <c r="A288" s="11">
        <v>286.0</v>
      </c>
      <c r="B288" s="12" t="s">
        <v>843</v>
      </c>
      <c r="C288" s="12" t="s">
        <v>708</v>
      </c>
      <c r="D288" s="12" t="s">
        <v>596</v>
      </c>
      <c r="E288" s="11">
        <v>3.112239194E9</v>
      </c>
      <c r="F288" s="12" t="s">
        <v>81</v>
      </c>
      <c r="G288" s="12" t="s">
        <v>413</v>
      </c>
    </row>
    <row r="289">
      <c r="A289" s="11">
        <v>287.0</v>
      </c>
      <c r="B289" s="12" t="s">
        <v>844</v>
      </c>
      <c r="C289" s="12" t="s">
        <v>354</v>
      </c>
      <c r="D289" s="12" t="s">
        <v>845</v>
      </c>
      <c r="E289" s="11">
        <v>3.448185081E9</v>
      </c>
      <c r="F289" s="12" t="s">
        <v>354</v>
      </c>
      <c r="G289" s="12" t="s">
        <v>25</v>
      </c>
    </row>
  </sheetData>
  <mergeCells count="1">
    <mergeCell ref="A1:G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75"/>
    <col customWidth="1" min="2" max="2" width="17.5"/>
    <col customWidth="1" min="3" max="3" width="28.63"/>
    <col customWidth="1" min="4" max="4" width="15.13"/>
    <col customWidth="1" min="5" max="5" width="20.25"/>
    <col customWidth="1" min="6" max="6" width="14.25"/>
    <col customWidth="1" min="8" max="8" width="14.88"/>
    <col customWidth="1" min="9" max="9" width="6.75"/>
    <col customWidth="1" min="10" max="10" width="14.75"/>
  </cols>
  <sheetData>
    <row r="1">
      <c r="A1" s="8" t="s">
        <v>3</v>
      </c>
      <c r="B1" s="8" t="s">
        <v>9</v>
      </c>
      <c r="C1" s="8" t="s">
        <v>11</v>
      </c>
      <c r="D1" s="8" t="s">
        <v>13</v>
      </c>
      <c r="E1" s="8" t="s">
        <v>14</v>
      </c>
      <c r="F1" s="8" t="s">
        <v>15</v>
      </c>
      <c r="G1" s="8" t="s">
        <v>16</v>
      </c>
      <c r="H1" s="8" t="s">
        <v>18</v>
      </c>
      <c r="I1" s="8" t="s">
        <v>19</v>
      </c>
      <c r="J1" s="8" t="s">
        <v>21</v>
      </c>
    </row>
    <row r="2">
      <c r="A2" s="14" t="s">
        <v>24</v>
      </c>
      <c r="B2" s="14" t="s">
        <v>28</v>
      </c>
      <c r="C2" s="14" t="s">
        <v>30</v>
      </c>
      <c r="D2" s="17">
        <v>3.230335517225E12</v>
      </c>
      <c r="E2" s="17" t="s">
        <v>34</v>
      </c>
      <c r="F2" s="18">
        <v>42230.0</v>
      </c>
      <c r="G2" s="17">
        <v>3.212363829E9</v>
      </c>
      <c r="H2" s="17">
        <v>4.220176690607E12</v>
      </c>
      <c r="I2" s="17">
        <v>6.0</v>
      </c>
      <c r="J2" s="17" t="s">
        <v>38</v>
      </c>
    </row>
    <row r="3">
      <c r="A3" s="14" t="s">
        <v>41</v>
      </c>
      <c r="B3" s="14" t="s">
        <v>28</v>
      </c>
      <c r="C3" s="14" t="s">
        <v>30</v>
      </c>
      <c r="D3" s="17">
        <v>3.230384635779E12</v>
      </c>
      <c r="E3" s="17" t="s">
        <v>34</v>
      </c>
      <c r="F3" s="18">
        <v>44063.0</v>
      </c>
      <c r="G3" s="17">
        <v>3.212363829E9</v>
      </c>
      <c r="H3" s="17">
        <v>4.220176690607E12</v>
      </c>
      <c r="I3" s="17">
        <v>2.0</v>
      </c>
      <c r="J3" s="17" t="s">
        <v>38</v>
      </c>
    </row>
    <row r="4">
      <c r="A4" s="14" t="s">
        <v>46</v>
      </c>
      <c r="B4" s="14" t="s">
        <v>48</v>
      </c>
      <c r="C4" s="14"/>
      <c r="D4" s="17">
        <v>3.740364848113E12</v>
      </c>
      <c r="E4" s="17" t="s">
        <v>34</v>
      </c>
      <c r="F4" s="18">
        <v>42937.0</v>
      </c>
      <c r="G4" s="17">
        <v>3.463013722E9</v>
      </c>
      <c r="H4" s="17">
        <v>3.740386999905E12</v>
      </c>
      <c r="I4" s="17">
        <v>4.0</v>
      </c>
      <c r="J4" s="17" t="s">
        <v>38</v>
      </c>
    </row>
    <row r="5">
      <c r="A5" s="14" t="s">
        <v>17</v>
      </c>
      <c r="B5" s="14" t="s">
        <v>54</v>
      </c>
      <c r="C5" s="14" t="s">
        <v>55</v>
      </c>
      <c r="D5" s="17">
        <v>4.220198326287E12</v>
      </c>
      <c r="E5" s="17" t="s">
        <v>34</v>
      </c>
      <c r="F5" s="18">
        <v>42239.0</v>
      </c>
      <c r="G5" s="17">
        <v>3.03359639E9</v>
      </c>
      <c r="H5" s="17">
        <v>4.220148228563E12</v>
      </c>
      <c r="I5" s="17">
        <v>4.0</v>
      </c>
      <c r="J5" s="17" t="s">
        <v>38</v>
      </c>
    </row>
    <row r="6">
      <c r="A6" s="14" t="s">
        <v>61</v>
      </c>
      <c r="B6" s="14" t="s">
        <v>63</v>
      </c>
      <c r="C6" s="14" t="s">
        <v>64</v>
      </c>
      <c r="D6" s="17">
        <v>4.220198185729E12</v>
      </c>
      <c r="E6" s="17" t="s">
        <v>34</v>
      </c>
      <c r="F6" s="21">
        <v>42554.0</v>
      </c>
      <c r="G6" s="17">
        <v>3.456185582E9</v>
      </c>
      <c r="H6" s="17">
        <v>4.220103950319E12</v>
      </c>
      <c r="I6" s="17">
        <v>5.0</v>
      </c>
      <c r="J6" s="17" t="s">
        <v>38</v>
      </c>
    </row>
    <row r="7">
      <c r="A7" s="14" t="s">
        <v>69</v>
      </c>
      <c r="B7" s="14" t="s">
        <v>63</v>
      </c>
      <c r="C7" s="14" t="s">
        <v>64</v>
      </c>
      <c r="D7" s="17">
        <v>4.220148986893E12</v>
      </c>
      <c r="E7" s="17" t="s">
        <v>34</v>
      </c>
      <c r="F7" s="18">
        <v>41661.0</v>
      </c>
      <c r="G7" s="17">
        <v>3.456185582E9</v>
      </c>
      <c r="H7" s="17">
        <v>4.220103950319E12</v>
      </c>
      <c r="I7" s="17">
        <v>7.0</v>
      </c>
      <c r="J7" s="17" t="s">
        <v>73</v>
      </c>
    </row>
    <row r="8">
      <c r="A8" s="14"/>
      <c r="B8" s="14"/>
      <c r="C8" s="14"/>
    </row>
    <row r="9">
      <c r="A9" s="14"/>
      <c r="B9" s="14"/>
      <c r="C9" s="14"/>
    </row>
    <row r="10">
      <c r="A10" s="22"/>
      <c r="B10" s="14"/>
      <c r="C10" s="22"/>
    </row>
    <row r="11">
      <c r="A11" s="14"/>
      <c r="B11" s="14"/>
      <c r="C11" s="14"/>
    </row>
    <row r="12">
      <c r="A12" s="22"/>
      <c r="B12" s="22"/>
      <c r="C12" s="22"/>
    </row>
    <row r="13">
      <c r="A13" s="14"/>
      <c r="B13" s="14"/>
      <c r="C13" s="14"/>
    </row>
  </sheetData>
  <drawing r:id="rId1"/>
</worksheet>
</file>